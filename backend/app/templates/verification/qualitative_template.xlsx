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 tabRatio="909" activeTab="1"/>
  </bookViews>
  <sheets>
    <sheet name="主封面" sheetId="71" r:id="rId1"/>
    <sheet name="结果汇总" sheetId="60" r:id="rId2"/>
    <sheet name="精密度" sheetId="81" r:id="rId3"/>
    <sheet name="方法符合率" sheetId="82" r:id="rId4"/>
    <sheet name="方法检出限（合适时）" sheetId="85" r:id="rId5"/>
    <sheet name="分析特异性（合适时）" sheetId="83" r:id="rId6"/>
    <sheet name="原始数据" sheetId="79" r:id="rId7"/>
  </sheets>
  <externalReferences>
    <externalReference r:id="rId9"/>
  </externalReferences>
  <definedNames>
    <definedName name="_xlnm.Print_Titles" localSheetId="1">结果汇总!$1:$1</definedName>
    <definedName name="年龄段下拉" localSheetId="1">#REF!</definedName>
    <definedName name="年龄段下拉">#REF!</definedName>
    <definedName name="其他分组下拉" localSheetId="1">#REF!</definedName>
    <definedName name="其他分组下拉">#REF!</definedName>
    <definedName name="项目名称" localSheetId="1">#REF!</definedName>
    <definedName name="项目名称">#REF!</definedName>
    <definedName name="_xlnm.Print_Area" localSheetId="0">主封面!$A$1:$J$40</definedName>
    <definedName name="_xlnm.Print_Area" localSheetId="2">精密度!$A$1:$L$95</definedName>
    <definedName name="_xlnm._FilterDatabase" localSheetId="3" hidden="1">方法符合率!$A$3:$L$3</definedName>
    <definedName name="_xlnm.Print_Area" localSheetId="3">方法符合率!$A$1:$I$47</definedName>
    <definedName name="年龄段下拉" localSheetId="3">#REF!</definedName>
    <definedName name="其他分组下拉" localSheetId="3">#REF!</definedName>
    <definedName name="项目名称" localSheetId="3">#REF!</definedName>
    <definedName name="_xlnm._FilterDatabase" localSheetId="5" hidden="1">'分析特异性（合适时）'!$A$3:$K$3</definedName>
    <definedName name="_xlnm.Print_Area" localSheetId="5">'分析特异性（合适时）'!$A$1:$H$70</definedName>
    <definedName name="_xlnm.Print_Titles" localSheetId="5">'分析特异性（合适时）'!$1:$1</definedName>
    <definedName name="年龄段下拉" localSheetId="5">#REF!</definedName>
    <definedName name="其他分组下拉" localSheetId="5">#REF!</definedName>
    <definedName name="项目名称" localSheetId="5">#REF!</definedName>
    <definedName name="_xlnm.Print_Area" localSheetId="6">原始数据!$A$1:$G$116</definedName>
    <definedName name="_xlnm._FilterDatabase" localSheetId="4" hidden="1">'方法检出限（合适时）'!$A$3:$L$3</definedName>
    <definedName name="_xlnm.Print_Area" localSheetId="4">'方法检出限（合适时）'!$A$1:$I$46</definedName>
    <definedName name="年龄段下拉" localSheetId="4">#REF!</definedName>
    <definedName name="其他分组下拉" localSheetId="4">#REF!</definedName>
    <definedName name="项目名称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<sst xmlns="http://schemas.openxmlformats.org/spreadsheetml/2006/main" count="598" uniqueCount="288">
  <si>
    <t>标题</t>
  </si>
  <si>
    <t>生化免疫组定性项目性能验证报告</t>
  </si>
  <si>
    <t>文件编号</t>
  </si>
  <si>
    <t>BG-SM-CZ-040</t>
  </si>
  <si>
    <t>版本号</t>
  </si>
  <si>
    <t>01</t>
  </si>
  <si>
    <t>颁布部门</t>
  </si>
  <si>
    <t>生化免疫组</t>
  </si>
  <si>
    <t>生效日期</t>
  </si>
  <si>
    <t>2025.04.01</t>
  </si>
  <si>
    <t>修改号</t>
  </si>
  <si>
    <t>编制人</t>
  </si>
  <si>
    <t>金子铮</t>
  </si>
  <si>
    <t>审核人</t>
  </si>
  <si>
    <t>杨静</t>
  </si>
  <si>
    <t>批准人</t>
  </si>
  <si>
    <t>王学晶</t>
  </si>
  <si>
    <t>民航总医院检验科</t>
  </si>
  <si>
    <t>性能验证报告</t>
  </si>
  <si>
    <t>项目名称：</t>
  </si>
  <si>
    <t>乙肝表面抗原（HBsAg）</t>
  </si>
  <si>
    <t>试剂厂家：</t>
  </si>
  <si>
    <t>罗氏</t>
  </si>
  <si>
    <t>仪器名称：</t>
  </si>
  <si>
    <t>全自动电化学发光免疫分析仪</t>
  </si>
  <si>
    <t>仪器厂家：</t>
  </si>
  <si>
    <t>仪器型号：</t>
  </si>
  <si>
    <t>e601</t>
  </si>
  <si>
    <t>仪器编号：</t>
  </si>
  <si>
    <t>MHZYY-JYK-SM-1016</t>
  </si>
  <si>
    <t>操作人员：</t>
  </si>
  <si>
    <t>审核人员：</t>
  </si>
  <si>
    <t>验证日期：</t>
  </si>
  <si>
    <t>2025年05月12日-2025年05月16日</t>
  </si>
  <si>
    <t>验证结论汇总</t>
  </si>
  <si>
    <t>一、验证项目及系统信息</t>
  </si>
  <si>
    <t>项目名称</t>
  </si>
  <si>
    <t>仪器型号</t>
  </si>
  <si>
    <t>项目方法</t>
  </si>
  <si>
    <t>电化学发光法</t>
  </si>
  <si>
    <t>仪器编号</t>
  </si>
  <si>
    <t>报告单位</t>
  </si>
  <si>
    <t>COI</t>
  </si>
  <si>
    <t>试剂</t>
  </si>
  <si>
    <t>罗氏乙肝表面抗原测定试剂盒</t>
  </si>
  <si>
    <t>试剂批号</t>
  </si>
  <si>
    <t>校准品</t>
  </si>
  <si>
    <t>罗氏试剂盒自带校准品</t>
  </si>
  <si>
    <t>校准品批号</t>
  </si>
  <si>
    <t>质控品</t>
  </si>
  <si>
    <t>康彻斯坦</t>
  </si>
  <si>
    <t>质控品批号</t>
  </si>
  <si>
    <t>操作人员</t>
  </si>
  <si>
    <t>审核人员</t>
  </si>
  <si>
    <t>验证日期</t>
  </si>
  <si>
    <t>二、验证内容</t>
  </si>
  <si>
    <t>精密度、方法符合率、检出限。</t>
  </si>
  <si>
    <t>三、验证结论</t>
  </si>
  <si>
    <t>验证内容</t>
  </si>
  <si>
    <t>验证要求</t>
  </si>
  <si>
    <t>验证结果</t>
  </si>
  <si>
    <t>验证结论</t>
  </si>
  <si>
    <t>精密度</t>
  </si>
  <si>
    <t>批内CV ≤7.5%</t>
  </si>
  <si>
    <t>实验室内CV ≤10.0%</t>
  </si>
  <si>
    <t>方法符合率</t>
  </si>
  <si>
    <t>阳性符合率≥95%</t>
  </si>
  <si>
    <t>阴性符合率≥95%</t>
  </si>
  <si>
    <t>方法检出限</t>
  </si>
  <si>
    <t>检出限浓度的样品阳性率≥95%</t>
  </si>
  <si>
    <t>0.38U/mL
阳性率 100%</t>
  </si>
  <si>
    <t>符合要求</t>
  </si>
  <si>
    <t>四、评价结论</t>
  </si>
  <si>
    <t xml:space="preserve">    本实验室在罗氏e601上对乙肝表面抗原的分析性能，包括精密度、方法符合率和方法检出限均符合要求。</t>
  </si>
  <si>
    <t>精密度验证报告</t>
  </si>
  <si>
    <t>一、验证方案:
CNAS-GL038:2019《临床免疫学定性检验程序性能验证指南》6.2；
WS/T 492-2016《临床检验定量测定项目精密度与正确度性能验证》3.1-3.3；
WS/T 408-2024《定量检验程序分析性能验证指南》5。</t>
  </si>
  <si>
    <t xml:space="preserve">    选取至少两个浓度的质控品，包括阴性和弱阳性。每天检测1批，每批检测2个水平，每个水平重复检测3次，连续检测5天，计算批内和实验室内总CV和SD，与实验室规定标准进行比较，同时使用统计学检验将估算值与标准进行比较。 </t>
  </si>
  <si>
    <t>二、要求</t>
  </si>
  <si>
    <t xml:space="preserve">    批内和实验室内变异系数或标准差≤实验室规定标准，则精密度验证通过；若大于规定标准，进行统计学检验，判断精密度是否可接受。
    实验室规定标准：参考WS/T403-2024《临床化学检验常用项目分析质量标准》附录A不精密度要求，或卫健委临检中心推荐的允许总误差相关要求（即批内≤1/4TEA、实验内CV≤1/3TEA）。无上述相关要求的，结合试剂厂家的精密度数据进行判断。</t>
  </si>
  <si>
    <t>三、实验基本参数</t>
  </si>
  <si>
    <t>精密度验证物质</t>
  </si>
  <si>
    <t>质控品（2水平）</t>
  </si>
  <si>
    <t>单位</t>
  </si>
  <si>
    <t>质控品来源</t>
  </si>
  <si>
    <t>允许总误差(TEA)</t>
  </si>
  <si>
    <t>行标与临检中心无相应要求</t>
  </si>
  <si>
    <t>批内CV数据</t>
  </si>
  <si>
    <t>≤</t>
  </si>
  <si>
    <t>实验室内CV数据</t>
  </si>
  <si>
    <t>验证完成日期</t>
  </si>
  <si>
    <t>四、实验结果与数据处理</t>
  </si>
  <si>
    <t>见下页</t>
  </si>
  <si>
    <t>五、实验结论</t>
  </si>
  <si>
    <t>均值</t>
  </si>
  <si>
    <r>
      <rPr>
        <sz val="12"/>
        <color theme="1"/>
        <rFont val="宋体"/>
        <charset val="134"/>
        <scheme val="minor"/>
      </rPr>
      <t>批内
变异系数</t>
    </r>
    <r>
      <rPr>
        <i/>
        <sz val="12"/>
        <color theme="1"/>
        <rFont val="宋体"/>
        <charset val="134"/>
        <scheme val="minor"/>
      </rPr>
      <t>CV%</t>
    </r>
  </si>
  <si>
    <r>
      <rPr>
        <sz val="12"/>
        <color theme="1"/>
        <rFont val="宋体"/>
        <charset val="134"/>
        <scheme val="minor"/>
      </rPr>
      <t>批间
变异系数</t>
    </r>
    <r>
      <rPr>
        <i/>
        <sz val="12"/>
        <color theme="1"/>
        <rFont val="宋体"/>
        <charset val="134"/>
        <scheme val="minor"/>
      </rPr>
      <t>CV%</t>
    </r>
  </si>
  <si>
    <t>实验室内
变异系数
CV%</t>
  </si>
  <si>
    <t>是否满足判定标准</t>
  </si>
  <si>
    <t>批内精密度
验证结果</t>
  </si>
  <si>
    <t>实验室内
精密度
验证结果</t>
  </si>
  <si>
    <t>低值质控品</t>
  </si>
  <si>
    <t>高值质控品</t>
  </si>
  <si>
    <t>乙肝表面抗原精密度验证：</t>
  </si>
  <si>
    <t>精密度验证</t>
  </si>
  <si>
    <t>分析仪器</t>
  </si>
  <si>
    <t>浓度水平数</t>
  </si>
  <si>
    <t>实验室规定的精密度要求（SD/CV%）</t>
  </si>
  <si>
    <t>分析物</t>
  </si>
  <si>
    <t>批内</t>
  </si>
  <si>
    <t>CV</t>
  </si>
  <si>
    <t>SD</t>
  </si>
  <si>
    <t>验证样本</t>
  </si>
  <si>
    <t>实验室内</t>
  </si>
  <si>
    <t>计划运行天数</t>
  </si>
  <si>
    <t>计划重复次数</t>
  </si>
  <si>
    <t>水平1</t>
  </si>
  <si>
    <t>水平2</t>
  </si>
  <si>
    <t>日期</t>
  </si>
  <si>
    <t>第1次</t>
  </si>
  <si>
    <t>第2次</t>
  </si>
  <si>
    <t>第3次</t>
  </si>
  <si>
    <t>第1天</t>
  </si>
  <si>
    <t>2025.5.12</t>
  </si>
  <si>
    <t>第2天</t>
  </si>
  <si>
    <t>2025.5.13</t>
  </si>
  <si>
    <t>第3天</t>
  </si>
  <si>
    <t>2025.5.14</t>
  </si>
  <si>
    <t>第4天</t>
  </si>
  <si>
    <t>2025.5.15</t>
  </si>
  <si>
    <t>第5天</t>
  </si>
  <si>
    <t>2025.5.16</t>
  </si>
  <si>
    <t>重复天数D</t>
  </si>
  <si>
    <t>重复次数n</t>
  </si>
  <si>
    <r>
      <rPr>
        <b/>
        <sz val="10"/>
        <color theme="1"/>
        <rFont val="宋体"/>
        <charset val="134"/>
        <scheme val="minor"/>
      </rPr>
      <t>批间方差（</t>
    </r>
    <r>
      <rPr>
        <b/>
        <i/>
        <sz val="10"/>
        <color theme="1"/>
        <rFont val="宋体"/>
        <charset val="134"/>
        <scheme val="minor"/>
      </rPr>
      <t>V</t>
    </r>
    <r>
      <rPr>
        <b/>
        <sz val="10"/>
        <color theme="1"/>
        <rFont val="宋体"/>
        <charset val="134"/>
        <scheme val="minor"/>
      </rPr>
      <t>b）</t>
    </r>
  </si>
  <si>
    <r>
      <rPr>
        <b/>
        <sz val="10"/>
        <color theme="1"/>
        <rFont val="宋体"/>
        <charset val="134"/>
        <scheme val="minor"/>
      </rPr>
      <t>批内方差（</t>
    </r>
    <r>
      <rPr>
        <b/>
        <i/>
        <sz val="10"/>
        <color theme="1"/>
        <rFont val="宋体"/>
        <charset val="134"/>
        <scheme val="minor"/>
      </rPr>
      <t>V</t>
    </r>
    <r>
      <rPr>
        <b/>
        <sz val="10"/>
        <color theme="1"/>
        <rFont val="宋体"/>
        <charset val="134"/>
        <scheme val="minor"/>
      </rPr>
      <t>r）</t>
    </r>
  </si>
  <si>
    <r>
      <rPr>
        <b/>
        <sz val="10"/>
        <color theme="1"/>
        <rFont val="宋体"/>
        <charset val="134"/>
        <scheme val="minor"/>
      </rPr>
      <t>总方差（</t>
    </r>
    <r>
      <rPr>
        <b/>
        <i/>
        <sz val="10"/>
        <color theme="1"/>
        <rFont val="宋体"/>
        <charset val="134"/>
        <scheme val="minor"/>
      </rPr>
      <t>V</t>
    </r>
    <r>
      <rPr>
        <b/>
        <vertAlign val="subscript"/>
        <sz val="10"/>
        <color theme="1"/>
        <rFont val="宋体"/>
        <charset val="134"/>
        <scheme val="minor"/>
      </rPr>
      <t>T</t>
    </r>
    <r>
      <rPr>
        <b/>
        <sz val="10"/>
        <color theme="1"/>
        <rFont val="宋体"/>
        <charset val="134"/>
        <scheme val="minor"/>
      </rPr>
      <t>）</t>
    </r>
  </si>
  <si>
    <r>
      <rPr>
        <b/>
        <sz val="10"/>
        <color theme="1"/>
        <rFont val="宋体"/>
        <charset val="134"/>
        <scheme val="minor"/>
      </rPr>
      <t>批间标准差（</t>
    </r>
    <r>
      <rPr>
        <b/>
        <i/>
        <sz val="10"/>
        <color theme="1"/>
        <rFont val="宋体"/>
        <charset val="134"/>
        <scheme val="minor"/>
      </rPr>
      <t>S</t>
    </r>
    <r>
      <rPr>
        <b/>
        <sz val="10"/>
        <color theme="1"/>
        <rFont val="宋体"/>
        <charset val="134"/>
        <scheme val="minor"/>
      </rPr>
      <t>b）</t>
    </r>
  </si>
  <si>
    <r>
      <rPr>
        <b/>
        <sz val="10"/>
        <color theme="1"/>
        <rFont val="宋体"/>
        <charset val="134"/>
        <scheme val="minor"/>
      </rPr>
      <t>批内标准差（</t>
    </r>
    <r>
      <rPr>
        <b/>
        <i/>
        <sz val="10"/>
        <color theme="1"/>
        <rFont val="宋体"/>
        <charset val="134"/>
        <scheme val="minor"/>
      </rPr>
      <t>S</t>
    </r>
    <r>
      <rPr>
        <b/>
        <vertAlign val="subscript"/>
        <sz val="10"/>
        <color theme="1"/>
        <rFont val="宋体"/>
        <charset val="134"/>
        <scheme val="minor"/>
      </rPr>
      <t>r</t>
    </r>
    <r>
      <rPr>
        <b/>
        <sz val="10"/>
        <color theme="1"/>
        <rFont val="宋体"/>
        <charset val="134"/>
        <scheme val="minor"/>
      </rPr>
      <t>）</t>
    </r>
  </si>
  <si>
    <r>
      <rPr>
        <b/>
        <sz val="10"/>
        <color theme="1"/>
        <rFont val="宋体"/>
        <charset val="134"/>
        <scheme val="minor"/>
      </rPr>
      <t>实验室内标准差（</t>
    </r>
    <r>
      <rPr>
        <b/>
        <i/>
        <sz val="10"/>
        <color theme="1"/>
        <rFont val="宋体"/>
        <charset val="134"/>
        <scheme val="minor"/>
      </rPr>
      <t>S</t>
    </r>
    <r>
      <rPr>
        <b/>
        <vertAlign val="subscript"/>
        <sz val="10"/>
        <color theme="1"/>
        <rFont val="宋体"/>
        <charset val="134"/>
        <scheme val="minor"/>
      </rPr>
      <t>l</t>
    </r>
    <r>
      <rPr>
        <b/>
        <sz val="10"/>
        <color theme="1"/>
        <rFont val="宋体"/>
        <charset val="134"/>
        <scheme val="minor"/>
      </rPr>
      <t>）</t>
    </r>
  </si>
  <si>
    <t>总均值</t>
  </si>
  <si>
    <r>
      <rPr>
        <b/>
        <sz val="11"/>
        <color theme="1"/>
        <rFont val="宋体"/>
        <charset val="134"/>
        <scheme val="minor"/>
      </rPr>
      <t>批内变异系数（</t>
    </r>
    <r>
      <rPr>
        <b/>
        <i/>
        <sz val="11"/>
        <color theme="1"/>
        <rFont val="宋体"/>
        <charset val="134"/>
        <scheme val="minor"/>
      </rPr>
      <t>CV%</t>
    </r>
    <r>
      <rPr>
        <b/>
        <sz val="11"/>
        <color theme="1"/>
        <rFont val="宋体"/>
        <charset val="134"/>
        <scheme val="minor"/>
      </rPr>
      <t>）</t>
    </r>
  </si>
  <si>
    <r>
      <rPr>
        <b/>
        <i/>
        <sz val="10"/>
        <color theme="1"/>
        <rFont val="宋体"/>
        <charset val="134"/>
        <scheme val="minor"/>
      </rPr>
      <t>V</t>
    </r>
    <r>
      <rPr>
        <b/>
        <sz val="10"/>
        <color theme="1"/>
        <rFont val="宋体"/>
        <charset val="134"/>
        <scheme val="minor"/>
      </rPr>
      <t>r/</t>
    </r>
    <r>
      <rPr>
        <b/>
        <i/>
        <sz val="10"/>
        <color theme="1"/>
        <rFont val="宋体"/>
        <charset val="134"/>
        <scheme val="minor"/>
      </rPr>
      <t>V</t>
    </r>
    <r>
      <rPr>
        <b/>
        <sz val="10"/>
        <color theme="1"/>
        <rFont val="宋体"/>
        <charset val="134"/>
        <scheme val="minor"/>
      </rPr>
      <t>b</t>
    </r>
  </si>
  <si>
    <r>
      <rPr>
        <b/>
        <sz val="11"/>
        <color theme="1"/>
        <rFont val="宋体"/>
        <charset val="134"/>
        <scheme val="minor"/>
      </rPr>
      <t>批间变异系数（</t>
    </r>
    <r>
      <rPr>
        <b/>
        <i/>
        <sz val="11"/>
        <color theme="1"/>
        <rFont val="宋体"/>
        <charset val="134"/>
        <scheme val="minor"/>
      </rPr>
      <t>CV%</t>
    </r>
    <r>
      <rPr>
        <b/>
        <sz val="11"/>
        <color theme="1"/>
        <rFont val="宋体"/>
        <charset val="134"/>
        <scheme val="minor"/>
      </rPr>
      <t>）</t>
    </r>
  </si>
  <si>
    <r>
      <rPr>
        <b/>
        <sz val="11"/>
        <color theme="1"/>
        <rFont val="宋体"/>
        <charset val="134"/>
        <scheme val="minor"/>
      </rPr>
      <t>实验室内变异系数（</t>
    </r>
    <r>
      <rPr>
        <b/>
        <i/>
        <sz val="11"/>
        <color theme="1"/>
        <rFont val="宋体"/>
        <charset val="134"/>
        <scheme val="minor"/>
      </rPr>
      <t>CV%</t>
    </r>
    <r>
      <rPr>
        <b/>
        <sz val="11"/>
        <color theme="1"/>
        <rFont val="宋体"/>
        <charset val="134"/>
        <scheme val="minor"/>
      </rPr>
      <t>）</t>
    </r>
  </si>
  <si>
    <t>N</t>
  </si>
  <si>
    <t>SE</t>
  </si>
  <si>
    <t>批内变异系数估算值与规定标准的比较：</t>
  </si>
  <si>
    <t>自由度</t>
  </si>
  <si>
    <t>α</t>
  </si>
  <si>
    <r>
      <rPr>
        <b/>
        <i/>
        <sz val="11"/>
        <color theme="1"/>
        <rFont val="宋体"/>
        <charset val="134"/>
        <scheme val="minor"/>
      </rPr>
      <t>CS</t>
    </r>
    <r>
      <rPr>
        <b/>
        <vertAlign val="subscript"/>
        <sz val="11"/>
        <color theme="1"/>
        <rFont val="宋体"/>
        <charset val="134"/>
        <scheme val="minor"/>
      </rPr>
      <t>α</t>
    </r>
  </si>
  <si>
    <t>批内变异系数验证值V</t>
  </si>
  <si>
    <t>实验室内变异系数估算值与规定标准的比较：</t>
  </si>
  <si>
    <t>有效自由度T</t>
  </si>
  <si>
    <t>实验室内变异系数验证值V</t>
  </si>
  <si>
    <t>结论：精密度验证符合要求</t>
  </si>
  <si>
    <t>浓度</t>
  </si>
  <si>
    <r>
      <rPr>
        <b/>
        <sz val="10"/>
        <color theme="1"/>
        <rFont val="宋体"/>
        <charset val="134"/>
        <scheme val="minor"/>
      </rPr>
      <t>批内变异系数（</t>
    </r>
    <r>
      <rPr>
        <b/>
        <i/>
        <sz val="10"/>
        <color theme="1"/>
        <rFont val="宋体"/>
        <charset val="134"/>
        <scheme val="minor"/>
      </rPr>
      <t>CV%</t>
    </r>
    <r>
      <rPr>
        <b/>
        <sz val="10"/>
        <color theme="1"/>
        <rFont val="宋体"/>
        <charset val="134"/>
        <scheme val="minor"/>
      </rPr>
      <t>）</t>
    </r>
  </si>
  <si>
    <r>
      <rPr>
        <b/>
        <sz val="10"/>
        <color theme="1"/>
        <rFont val="宋体"/>
        <charset val="134"/>
        <scheme val="minor"/>
      </rPr>
      <t>实验室内变异系数（</t>
    </r>
    <r>
      <rPr>
        <b/>
        <i/>
        <sz val="10"/>
        <color theme="1"/>
        <rFont val="宋体"/>
        <charset val="134"/>
        <scheme val="minor"/>
      </rPr>
      <t>CV%</t>
    </r>
    <r>
      <rPr>
        <b/>
        <sz val="10"/>
        <color theme="1"/>
        <rFont val="宋体"/>
        <charset val="134"/>
        <scheme val="minor"/>
      </rPr>
      <t>）</t>
    </r>
  </si>
  <si>
    <r>
      <rPr>
        <b/>
        <i/>
        <sz val="10"/>
        <color theme="1"/>
        <rFont val="宋体"/>
        <charset val="134"/>
        <scheme val="minor"/>
      </rPr>
      <t>CS</t>
    </r>
    <r>
      <rPr>
        <b/>
        <vertAlign val="subscript"/>
        <sz val="10"/>
        <color theme="1"/>
        <rFont val="宋体"/>
        <charset val="134"/>
        <scheme val="minor"/>
      </rPr>
      <t>α</t>
    </r>
  </si>
  <si>
    <t>结论:</t>
  </si>
  <si>
    <t>方法符合率验证报告</t>
  </si>
  <si>
    <t>一、验证方案：
CNAS-GL038:2019《临床免疫学定性检验程序性能验证指南》6.1.2。</t>
  </si>
  <si>
    <t xml:space="preserve">    选取已知结果的室间质评样本或厂家参考品，至少10份阴性样本和至少10份阳性样本（阳性样本要包含2-4 倍 cut-off 值之间的弱阳性样本和极高值阳性样本），按照公式计算阴性符合率和阳性符合率：阳性符合率=[真阳性/（真阳性+假阴性）] × 100%，阴性符合率=[真阴性/（真阴性+假阳性）] × 100%，总符合率=[(真阳性+真阴性)/总样本数] × 100%计算。</t>
  </si>
  <si>
    <t>实验室规定标准：阴性符合率、阳性符合率均≥95%。</t>
  </si>
  <si>
    <t>符合率验证物质</t>
  </si>
  <si>
    <t>室间质评样本</t>
  </si>
  <si>
    <t>阳性符合率</t>
  </si>
  <si>
    <t>≥</t>
  </si>
  <si>
    <t>阴性符合率</t>
  </si>
  <si>
    <t>四、实验数据及处理结果</t>
  </si>
  <si>
    <t>HBsAg</t>
  </si>
  <si>
    <t>室间质评样品</t>
  </si>
  <si>
    <t>待评价方法结果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</si>
  <si>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</si>
  <si>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</si>
  <si>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</si>
  <si>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</si>
  <si>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</si>
  <si>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</si>
  <si>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</si>
  <si>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</si>
  <si>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</si>
  <si>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</si>
  <si>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P1</t>
  </si>
  <si>
    <t>P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</si>
  <si>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</si>
  <si>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</si>
  <si>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</si>
  <si>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</si>
  <si>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</si>
  <si>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</si>
  <si>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</si>
  <si>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</si>
  <si>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</si>
  <si>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总符合率</t>
  </si>
  <si>
    <t>乙肝表面抗原方法符合率验证：</t>
  </si>
  <si>
    <t>方法检出限验证报告</t>
  </si>
  <si>
    <t xml:space="preserve">    使用定值标准物质的样品质如国际参考品、国家参考品、厂商参考品。使用定值标准物质的样本梯度稀释至厂商声明的检出限浓度，样本总数不得少于 20个。稀释液可根据情况选用厂商提供的稀释液或阴性血清，该阴性血清除被验证的目标物必须阴性外，其对应的相关物质（如抗原或抗体）也必须阴性，且试剂说明书上申明的干扰物质必须在允许范围之内。
</t>
  </si>
  <si>
    <t>实验室规定标准：≥95%的样本检出阳性</t>
  </si>
  <si>
    <t>检出限验证物质</t>
  </si>
  <si>
    <t>厂商参考品</t>
  </si>
  <si>
    <t>声明检出限</t>
  </si>
  <si>
    <t>0.04U/mL</t>
  </si>
  <si>
    <t>参考品原浓度</t>
  </si>
  <si>
    <t>参考品稀释后浓度</t>
  </si>
  <si>
    <t>0.5U/mL</t>
  </si>
  <si>
    <t>0.38U/mL</t>
  </si>
  <si>
    <t>阳性样本</t>
  </si>
  <si>
    <t>乙肝表面抗原方法检出限验证：</t>
  </si>
  <si>
    <t>分析特异性验证报告</t>
  </si>
  <si>
    <t>一、验证方案：
CNAS-GL037:2019《临床化学定量检验程序性能验证指南》6.4；
WS/T 416-2013《干扰试验指南》。</t>
  </si>
  <si>
    <t xml:space="preserve">    选取1个基础样本，考虑参考医学决定水平或参考区间限值，或参考《干扰实验指南》附录B中建议的实验浓度。干扰物原液中的浓度应高于厂家声明20倍，按照干扰物低浓度样本（基础样本950ul+溶剂（生理盐水等）50ul）、干扰物高浓度样本样本（基础样本950ul+干扰物原液50ul）配制，将二者按不同比例混合，配置5个干扰物水平的样本。重复检测3次，记录数据，计算相对偏倚。</t>
  </si>
  <si>
    <t xml:space="preserve">    加入干扰物后相对偏倚≤允许偏倚，认为此干扰物浓度无明显干扰。
    允许偏倚标准：参考WS/T403-2024《临床化学检验常用项目分析质量标准》附录A允许偏倚的要求，或卫健委临检中心推荐的允许总误差相关要求（即相对偏倚≤1/2TEA）。</t>
  </si>
  <si>
    <t>样本来源</t>
  </si>
  <si>
    <t>临床标本</t>
  </si>
  <si>
    <t>试剂厂商声明的分析特异性：</t>
  </si>
  <si>
    <t>胆红素</t>
  </si>
  <si>
    <t>umol/L</t>
  </si>
  <si>
    <t>甘油三酯</t>
  </si>
  <si>
    <t>mmol/L</t>
  </si>
  <si>
    <t>血红蛋白</t>
  </si>
  <si>
    <t>g/dL</t>
  </si>
  <si>
    <t>允许偏倚</t>
  </si>
  <si>
    <t>干扰物质</t>
  </si>
  <si>
    <t>抗干扰浓度</t>
  </si>
  <si>
    <t>700umol/L</t>
  </si>
  <si>
    <t>9.3mmol/L</t>
  </si>
  <si>
    <t>6g/L</t>
  </si>
  <si>
    <t>降钙素（CT）分析特异性验证：</t>
  </si>
  <si>
    <t>降钙素（CT）对胆红素、甘油三酯、血红蛋白的抗干扰能力符合要求。</t>
  </si>
  <si>
    <t>胆红素≤700umol/L，甘油三酯≤9.3mmol/L，血红蛋白≤6g/L无明显干扰。</t>
  </si>
  <si>
    <t>贝克曼DXI800</t>
  </si>
  <si>
    <t>临床样本</t>
  </si>
  <si>
    <t>系列样品</t>
  </si>
  <si>
    <t>批内CV</t>
  </si>
  <si>
    <t>需验证的干扰物数量</t>
  </si>
  <si>
    <t>实验室内CV</t>
  </si>
  <si>
    <t>TEA</t>
  </si>
  <si>
    <t>1.干扰物高浓度与低浓度样本制备</t>
  </si>
  <si>
    <t>样本号</t>
  </si>
  <si>
    <t>基础样品用量</t>
  </si>
  <si>
    <t>干扰物原液用量</t>
  </si>
  <si>
    <t>溶剂用量</t>
  </si>
  <si>
    <t>干扰物低浓度样本</t>
  </si>
  <si>
    <t>950ul</t>
  </si>
  <si>
    <t>50ul</t>
  </si>
  <si>
    <t>干扰物高浓度样本</t>
  </si>
  <si>
    <t>本底浓度检测</t>
  </si>
  <si>
    <t>2.干扰物不同浓度系列样品制备</t>
  </si>
  <si>
    <t>系列样品号</t>
  </si>
  <si>
    <t>干扰物高浓度
样本用量mL</t>
  </si>
  <si>
    <t>干扰物低浓度
样本用量mL</t>
  </si>
  <si>
    <t>胆红素浓度</t>
  </si>
  <si>
    <t>甘油三酯浓度</t>
  </si>
  <si>
    <t>血红蛋白浓度</t>
  </si>
  <si>
    <t>3.样本测定</t>
  </si>
  <si>
    <t>原液浓度</t>
  </si>
  <si>
    <t>高浓度样本浓度</t>
  </si>
  <si>
    <t>干扰物
浓度</t>
  </si>
  <si>
    <t>相对偏倚</t>
  </si>
  <si>
    <t>判断</t>
  </si>
  <si>
    <t>g/L</t>
  </si>
  <si>
    <t>4.结论</t>
  </si>
  <si>
    <t>分析特异性验证验证：</t>
  </si>
  <si>
    <r>
      <rPr>
        <sz val="11"/>
        <color rgb="FF000000"/>
        <rFont val="宋体"/>
        <charset val="134"/>
      </rPr>
      <t>降钙素（CT）对胆红素、甘油三酯、血红蛋白的抗干扰能力</t>
    </r>
    <r>
      <rPr>
        <b/>
        <sz val="11"/>
        <color rgb="FF000000"/>
        <rFont val="宋体"/>
        <charset val="134"/>
      </rPr>
      <t>符合要求</t>
    </r>
    <r>
      <rPr>
        <sz val="11"/>
        <color rgb="FF000000"/>
        <rFont val="宋体"/>
        <charset val="134"/>
      </rPr>
      <t>。</t>
    </r>
  </si>
  <si>
    <t>定性项目性能验证原始结果记录表</t>
  </si>
  <si>
    <t>试剂品牌</t>
  </si>
  <si>
    <t>检出限</t>
  </si>
  <si>
    <t>类别</t>
  </si>
  <si>
    <t>名称</t>
  </si>
  <si>
    <t>品牌</t>
  </si>
  <si>
    <t>批号</t>
  </si>
  <si>
    <t>失效日期</t>
  </si>
  <si>
    <t>操作者</t>
  </si>
  <si>
    <t>审核者</t>
  </si>
  <si>
    <t>质控</t>
  </si>
  <si>
    <t>靶值</t>
  </si>
  <si>
    <t>检测结果</t>
  </si>
  <si>
    <t>一、精密度验证</t>
  </si>
  <si>
    <t>精密度验证物质：</t>
  </si>
  <si>
    <t>二、方法符合率验证</t>
  </si>
  <si>
    <t>三、检出限</t>
  </si>
  <si>
    <t>参考品浓度</t>
  </si>
  <si>
    <t>五、分析特异性验证</t>
  </si>
  <si>
    <t>干扰物高浓度与低浓度样本制备</t>
  </si>
  <si>
    <t xml:space="preserve"> </t>
  </si>
  <si>
    <t>干扰物不同浓度系列样品制备</t>
  </si>
  <si>
    <t>原液浓度需为声明20倍以上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</si>
</sst>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 "/>
    <numFmt numFmtId="178" formatCode="0_ "/>
    <numFmt numFmtId="179" formatCode="0.000_ "/>
    <numFmt numFmtId="180" formatCode="0.0_ "/>
    <numFmt numFmtId="181" formatCode="0.0000_ "/>
    <numFmt numFmtId="182" formatCode="0.0%"/>
    <numFmt numFmtId="183" formatCode="0.00_);[Red]\(0.00\)"/>
    <numFmt numFmtId="184" formatCode="yyyy&quot;年&quot;m&quot;月&quot;d&quot;日&quot;;@"/>
  </numFmts>
  <fonts count="85">
    <font>
      <sz val="11"/>
      <color indexed="8"/>
      <name val="宋体"/>
      <charset val="134"/>
    </font>
    <font>
      <b/>
      <sz val="18"/>
      <name val="宋体"/>
      <charset val="134"/>
    </font>
    <font>
      <sz val="12"/>
      <color theme="1"/>
      <name val="宋体"/>
      <charset val="134"/>
      <scheme val="major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0"/>
      <name val="Arial"/>
      <charset val="134"/>
    </font>
    <font>
      <b/>
      <sz val="11"/>
      <name val="宋体"/>
      <charset val="134"/>
      <scheme val="minor"/>
    </font>
    <font>
      <sz val="14"/>
      <color indexed="8"/>
      <name val="宋体"/>
      <charset val="134"/>
    </font>
    <font>
      <b/>
      <sz val="11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b/>
      <sz val="20"/>
      <name val="宋体"/>
      <charset val="134"/>
      <scheme val="major"/>
    </font>
    <font>
      <sz val="12"/>
      <name val="宋体"/>
      <charset val="134"/>
      <scheme val="major"/>
    </font>
    <font>
      <b/>
      <sz val="20"/>
      <name val="黑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0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b/>
      <sz val="11"/>
      <name val="宋体"/>
      <charset val="134"/>
    </font>
    <font>
      <sz val="9"/>
      <color theme="1"/>
      <name val="宋体"/>
      <charset val="134"/>
      <scheme val="major"/>
    </font>
    <font>
      <sz val="14"/>
      <color theme="1"/>
      <name val="宋体"/>
      <charset val="134"/>
      <scheme val="major"/>
    </font>
    <font>
      <sz val="1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6"/>
      <name val="宋体"/>
      <charset val="134"/>
      <scheme val="minor"/>
    </font>
    <font>
      <b/>
      <sz val="14"/>
      <color rgb="FF170BB5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1"/>
      <name val="等线"/>
      <charset val="134"/>
    </font>
    <font>
      <sz val="10"/>
      <name val="MS Sans Serif"/>
      <charset val="134"/>
    </font>
    <font>
      <sz val="11"/>
      <color rgb="FF000000"/>
      <name val="等线"/>
      <charset val="134"/>
    </font>
    <font>
      <sz val="11"/>
      <color theme="1"/>
      <name val="Tahoma"/>
      <charset val="134"/>
    </font>
    <font>
      <b/>
      <vertAlign val="subscript"/>
      <sz val="10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i/>
      <sz val="12"/>
      <color theme="1"/>
      <name val="宋体"/>
      <charset val="134"/>
      <scheme val="minor"/>
    </font>
    <font>
      <b/>
      <vertAlign val="sub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0" borderId="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4" borderId="10" applyNumberFormat="0" applyAlignment="0" applyProtection="0">
      <alignment vertical="center"/>
    </xf>
    <xf numFmtId="0" fontId="66" fillId="5" borderId="11" applyNumberFormat="0" applyAlignment="0" applyProtection="0">
      <alignment vertical="center"/>
    </xf>
    <xf numFmtId="0" fontId="67" fillId="5" borderId="10" applyNumberFormat="0" applyAlignment="0" applyProtection="0">
      <alignment vertical="center"/>
    </xf>
    <xf numFmtId="0" fontId="68" fillId="6" borderId="12" applyNumberFormat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9" fontId="0" fillId="0" borderId="0">
      <alignment vertical="top"/>
      <protection locked="0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6" fillId="0" borderId="0" applyFont="0" applyAlignment="0">
      <alignment vertical="center"/>
    </xf>
    <xf numFmtId="0" fontId="77" fillId="0" borderId="0">
      <alignment vertical="center"/>
    </xf>
    <xf numFmtId="0" fontId="8" fillId="0" borderId="0">
      <alignment vertical="center"/>
    </xf>
    <xf numFmtId="0" fontId="78" fillId="0" borderId="0">
      <protection locked="0"/>
    </xf>
    <xf numFmtId="0" fontId="78" fillId="0" borderId="0">
      <protection locked="0"/>
    </xf>
    <xf numFmtId="0" fontId="33" fillId="0" borderId="0">
      <alignment vertical="center"/>
    </xf>
    <xf numFmtId="0" fontId="77" fillId="0" borderId="0">
      <alignment vertical="center"/>
    </xf>
    <xf numFmtId="0" fontId="8" fillId="0" borderId="0">
      <alignment vertical="center"/>
    </xf>
    <xf numFmtId="0" fontId="79" fillId="0" borderId="0">
      <protection locked="0"/>
    </xf>
    <xf numFmtId="0" fontId="80" fillId="0" borderId="0"/>
    <xf numFmtId="0" fontId="78" fillId="0" borderId="0"/>
    <xf numFmtId="0" fontId="10" fillId="0" borderId="0" applyBorder="0"/>
    <xf numFmtId="0" fontId="10" fillId="0" borderId="0"/>
    <xf numFmtId="0" fontId="25" fillId="0" borderId="0">
      <alignment vertical="center"/>
    </xf>
  </cellStyleXfs>
  <cellXfs count="27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54" applyFont="1" applyBorder="1" applyAlignment="1">
      <alignment horizontal="center" vertical="center"/>
    </xf>
    <xf numFmtId="0" fontId="2" fillId="0" borderId="2" xfId="54" applyFont="1" applyBorder="1" applyAlignment="1">
      <alignment horizontal="center" vertical="center"/>
    </xf>
    <xf numFmtId="0" fontId="2" fillId="0" borderId="3" xfId="54" applyFont="1" applyBorder="1" applyAlignment="1">
      <alignment horizontal="center" vertical="center"/>
    </xf>
    <xf numFmtId="0" fontId="2" fillId="0" borderId="4" xfId="54" applyFont="1" applyBorder="1" applyAlignment="1">
      <alignment horizontal="center" vertical="center"/>
    </xf>
    <xf numFmtId="0" fontId="2" fillId="0" borderId="0" xfId="54" applyFont="1">
      <alignment vertical="center"/>
    </xf>
    <xf numFmtId="0" fontId="2" fillId="0" borderId="0" xfId="54" applyFont="1" applyAlignment="1">
      <alignment vertical="center"/>
    </xf>
    <xf numFmtId="0" fontId="2" fillId="0" borderId="2" xfId="54" applyFont="1" applyBorder="1" applyAlignment="1">
      <alignment horizontal="center" vertical="center" shrinkToFit="1"/>
    </xf>
    <xf numFmtId="0" fontId="2" fillId="0" borderId="3" xfId="54" applyFont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Font="1" applyBorder="1">
      <alignment vertical="center"/>
    </xf>
    <xf numFmtId="0" fontId="5" fillId="0" borderId="5" xfId="0" applyFont="1" applyFill="1" applyBorder="1" applyAlignment="1">
      <alignment vertical="center"/>
    </xf>
    <xf numFmtId="0" fontId="0" fillId="0" borderId="5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54" applyFont="1" applyAlignment="1">
      <alignment horizontal="center" vertical="center"/>
    </xf>
    <xf numFmtId="0" fontId="6" fillId="0" borderId="0" xfId="54" applyFont="1" applyBorder="1" applyAlignment="1">
      <alignment horizontal="center" vertical="center"/>
    </xf>
    <xf numFmtId="176" fontId="7" fillId="0" borderId="0" xfId="0" applyNumberFormat="1" applyFont="1" applyBorder="1" applyAlignment="1" applyProtection="1">
      <alignment horizontal="center" vertical="center" shrinkToFit="1"/>
      <protection locked="0"/>
    </xf>
    <xf numFmtId="176" fontId="7" fillId="0" borderId="0" xfId="0" applyNumberFormat="1" applyFont="1" applyAlignment="1" applyProtection="1">
      <alignment horizontal="center" vertical="center" shrinkToFit="1"/>
      <protection locked="0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4" xfId="56" applyFont="1" applyBorder="1" applyAlignment="1" applyProtection="1">
      <alignment horizontal="left" vertical="center"/>
    </xf>
    <xf numFmtId="0" fontId="9" fillId="0" borderId="4" xfId="56" applyFont="1" applyBorder="1" applyAlignment="1" applyProtection="1">
      <alignment horizontal="center" vertical="center"/>
    </xf>
    <xf numFmtId="0" fontId="9" fillId="0" borderId="0" xfId="56" applyFont="1" applyAlignment="1" applyProtection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63" applyBorder="1" applyAlignment="1">
      <alignment horizontal="center" vertical="center"/>
    </xf>
    <xf numFmtId="177" fontId="7" fillId="0" borderId="0" xfId="53" applyNumberFormat="1" applyFont="1" applyAlignment="1" applyProtection="1">
      <alignment horizontal="center" vertical="top"/>
      <protection locked="0"/>
    </xf>
    <xf numFmtId="178" fontId="6" fillId="0" borderId="0" xfId="56" applyNumberFormat="1" applyFont="1" applyAlignment="1" applyProtection="1">
      <alignment horizontal="center" vertical="center"/>
    </xf>
    <xf numFmtId="179" fontId="6" fillId="0" borderId="0" xfId="56" applyNumberFormat="1" applyFont="1" applyAlignment="1" applyProtection="1">
      <alignment horizontal="center" vertical="center"/>
    </xf>
    <xf numFmtId="0" fontId="9" fillId="0" borderId="5" xfId="56" applyFont="1" applyBorder="1" applyAlignment="1" applyProtection="1">
      <alignment horizontal="center" vertical="center"/>
    </xf>
    <xf numFmtId="0" fontId="6" fillId="0" borderId="0" xfId="56" applyFont="1" applyAlignment="1" applyProtection="1">
      <alignment horizontal="left" vertical="center"/>
    </xf>
    <xf numFmtId="0" fontId="7" fillId="0" borderId="0" xfId="53" applyFont="1" applyAlignment="1" applyProtection="1">
      <alignment vertical="top"/>
      <protection locked="0"/>
    </xf>
    <xf numFmtId="0" fontId="7" fillId="0" borderId="0" xfId="53" applyFont="1" applyAlignment="1" applyProtection="1">
      <alignment vertical="center" wrapText="1"/>
      <protection locked="0"/>
    </xf>
    <xf numFmtId="0" fontId="11" fillId="0" borderId="4" xfId="56" applyFont="1" applyBorder="1" applyAlignment="1" applyProtection="1">
      <alignment horizontal="center" vertical="center"/>
    </xf>
    <xf numFmtId="0" fontId="11" fillId="0" borderId="4" xfId="56" applyFont="1" applyBorder="1" applyAlignment="1" applyProtection="1">
      <alignment horizontal="center" vertical="center" wrapText="1"/>
    </xf>
    <xf numFmtId="0" fontId="11" fillId="0" borderId="0" xfId="56" applyFont="1" applyBorder="1" applyAlignment="1" applyProtection="1">
      <alignment horizontal="center" vertical="center" wrapText="1"/>
    </xf>
    <xf numFmtId="180" fontId="6" fillId="0" borderId="0" xfId="56" applyNumberFormat="1" applyFont="1" applyAlignment="1" applyProtection="1">
      <alignment horizontal="center" vertical="center"/>
    </xf>
    <xf numFmtId="0" fontId="11" fillId="0" borderId="5" xfId="56" applyFont="1" applyBorder="1" applyAlignment="1" applyProtection="1">
      <alignment horizontal="center" vertical="center" wrapText="1"/>
    </xf>
    <xf numFmtId="180" fontId="6" fillId="0" borderId="5" xfId="56" applyNumberFormat="1" applyFont="1" applyBorder="1" applyAlignment="1" applyProtection="1">
      <alignment horizontal="center" vertical="center"/>
    </xf>
    <xf numFmtId="178" fontId="6" fillId="0" borderId="5" xfId="56" applyNumberFormat="1" applyFont="1" applyBorder="1" applyAlignment="1" applyProtection="1">
      <alignment horizontal="center" vertical="center"/>
    </xf>
    <xf numFmtId="0" fontId="11" fillId="0" borderId="0" xfId="56" applyFont="1" applyAlignment="1" applyProtection="1">
      <alignment horizontal="center" vertical="center"/>
    </xf>
    <xf numFmtId="0" fontId="7" fillId="0" borderId="6" xfId="53" applyFont="1" applyBorder="1" applyAlignment="1" applyProtection="1">
      <alignment horizontal="center" vertical="center"/>
      <protection locked="0"/>
    </xf>
    <xf numFmtId="0" fontId="7" fillId="0" borderId="4" xfId="53" applyFont="1" applyBorder="1" applyAlignment="1" applyProtection="1">
      <alignment horizontal="center" vertical="center"/>
      <protection locked="0"/>
    </xf>
    <xf numFmtId="0" fontId="11" fillId="0" borderId="0" xfId="56" applyFont="1" applyAlignment="1" applyProtection="1">
      <alignment horizontal="left" vertical="center"/>
    </xf>
    <xf numFmtId="0" fontId="7" fillId="0" borderId="0" xfId="53" applyFont="1" applyAlignment="1" applyProtection="1">
      <alignment horizontal="center" vertical="center"/>
      <protection locked="0"/>
    </xf>
    <xf numFmtId="0" fontId="12" fillId="0" borderId="0" xfId="0" applyFont="1" applyAlignment="1">
      <alignment vertical="center" wrapText="1"/>
    </xf>
    <xf numFmtId="0" fontId="13" fillId="0" borderId="4" xfId="53" applyFont="1" applyBorder="1" applyAlignment="1" applyProtection="1">
      <alignment horizontal="center" vertical="center"/>
      <protection locked="0"/>
    </xf>
    <xf numFmtId="0" fontId="13" fillId="0" borderId="4" xfId="53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 wrapText="1"/>
    </xf>
    <xf numFmtId="0" fontId="13" fillId="0" borderId="0" xfId="53" applyFont="1" applyAlignment="1" applyProtection="1">
      <alignment horizontal="center" vertical="center"/>
      <protection locked="0"/>
    </xf>
    <xf numFmtId="0" fontId="7" fillId="0" borderId="0" xfId="53" applyFont="1" applyAlignment="1" applyProtection="1">
      <alignment vertical="center"/>
    </xf>
    <xf numFmtId="0" fontId="13" fillId="0" borderId="5" xfId="53" applyFont="1" applyBorder="1" applyAlignment="1" applyProtection="1">
      <alignment horizontal="center" vertical="center"/>
      <protection locked="0"/>
    </xf>
    <xf numFmtId="0" fontId="7" fillId="0" borderId="5" xfId="53" applyFont="1" applyBorder="1" applyAlignment="1" applyProtection="1">
      <alignment horizontal="center" vertical="center"/>
      <protection locked="0"/>
    </xf>
    <xf numFmtId="0" fontId="13" fillId="0" borderId="0" xfId="53" applyFont="1" applyAlignment="1" applyProtection="1">
      <alignment vertical="center"/>
      <protection locked="0"/>
    </xf>
    <xf numFmtId="0" fontId="7" fillId="0" borderId="0" xfId="53" applyFont="1" applyAlignment="1" applyProtection="1">
      <alignment vertical="center"/>
      <protection locked="0"/>
    </xf>
    <xf numFmtId="0" fontId="7" fillId="0" borderId="0" xfId="53" applyFont="1" applyAlignment="1" applyProtection="1">
      <alignment horizontal="right" vertical="center"/>
      <protection locked="0"/>
    </xf>
    <xf numFmtId="177" fontId="7" fillId="0" borderId="0" xfId="53" applyNumberFormat="1" applyFont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1" fontId="15" fillId="0" borderId="0" xfId="0" applyNumberFormat="1" applyFont="1" applyAlignment="1" applyProtection="1">
      <alignment horizontal="center" vertical="center" wrapText="1"/>
      <protection locked="0"/>
    </xf>
    <xf numFmtId="0" fontId="7" fillId="0" borderId="0" xfId="53" applyFont="1" applyAlignment="1" applyProtection="1">
      <protection locked="0"/>
    </xf>
    <xf numFmtId="0" fontId="16" fillId="0" borderId="0" xfId="53" applyFont="1" applyAlignment="1" applyProtection="1">
      <protection locked="0"/>
    </xf>
    <xf numFmtId="0" fontId="8" fillId="0" borderId="0" xfId="54" applyAlignment="1">
      <alignment vertical="top"/>
    </xf>
    <xf numFmtId="0" fontId="8" fillId="0" borderId="0" xfId="54">
      <alignment vertical="center"/>
    </xf>
    <xf numFmtId="0" fontId="17" fillId="0" borderId="0" xfId="53" applyFont="1" applyAlignment="1">
      <alignment horizontal="center" vertical="center"/>
    </xf>
    <xf numFmtId="0" fontId="18" fillId="0" borderId="0" xfId="56" applyFont="1" applyAlignment="1" applyProtection="1">
      <alignment horizontal="left" vertical="center" wrapText="1"/>
    </xf>
    <xf numFmtId="0" fontId="9" fillId="0" borderId="0" xfId="53" applyFont="1" applyAlignment="1">
      <alignment horizontal="left" vertical="center" wrapText="1"/>
    </xf>
    <xf numFmtId="0" fontId="6" fillId="0" borderId="0" xfId="53" applyFont="1" applyAlignment="1">
      <alignment horizontal="left" vertical="center" wrapText="1"/>
    </xf>
    <xf numFmtId="0" fontId="18" fillId="0" borderId="0" xfId="56" applyFont="1" applyAlignment="1" applyProtection="1">
      <alignment horizontal="left" vertical="center"/>
    </xf>
    <xf numFmtId="0" fontId="9" fillId="0" borderId="6" xfId="54" applyFont="1" applyBorder="1" applyAlignment="1">
      <alignment horizontal="left" vertical="center" shrinkToFit="1"/>
    </xf>
    <xf numFmtId="0" fontId="19" fillId="0" borderId="6" xfId="0" applyFont="1" applyBorder="1" applyAlignment="1">
      <alignment horizontal="left" vertical="center" shrinkToFit="1"/>
    </xf>
    <xf numFmtId="0" fontId="9" fillId="0" borderId="0" xfId="54" applyFont="1" applyAlignment="1">
      <alignment horizontal="left" vertical="center" shrinkToFit="1"/>
    </xf>
    <xf numFmtId="0" fontId="19" fillId="0" borderId="0" xfId="0" applyFont="1" applyAlignment="1">
      <alignment horizontal="left" vertical="center" shrinkToFit="1"/>
    </xf>
    <xf numFmtId="0" fontId="20" fillId="0" borderId="0" xfId="53" applyFont="1" applyAlignment="1" applyProtection="1">
      <alignment horizontal="left" vertical="center"/>
      <protection locked="0"/>
    </xf>
    <xf numFmtId="0" fontId="9" fillId="0" borderId="0" xfId="54" applyFont="1" applyBorder="1" applyAlignment="1">
      <alignment horizontal="left" vertical="center" shrinkToFit="1"/>
    </xf>
    <xf numFmtId="0" fontId="6" fillId="0" borderId="0" xfId="54" applyFont="1" applyAlignment="1">
      <alignment horizontal="center" vertical="center" shrinkToFit="1"/>
    </xf>
    <xf numFmtId="0" fontId="7" fillId="0" borderId="0" xfId="53" applyFont="1" applyAlignment="1" applyProtection="1">
      <alignment horizontal="left" vertical="center"/>
      <protection locked="0"/>
    </xf>
    <xf numFmtId="0" fontId="20" fillId="0" borderId="0" xfId="53" applyFont="1" applyAlignment="1" applyProtection="1">
      <alignment vertical="top"/>
    </xf>
    <xf numFmtId="0" fontId="20" fillId="0" borderId="0" xfId="53" applyFont="1" applyAlignment="1" applyProtection="1">
      <alignment vertical="center"/>
      <protection locked="0"/>
    </xf>
    <xf numFmtId="0" fontId="20" fillId="0" borderId="0" xfId="53" applyFont="1" applyAlignment="1" applyProtection="1">
      <alignment vertical="top"/>
      <protection locked="0"/>
    </xf>
    <xf numFmtId="0" fontId="20" fillId="0" borderId="0" xfId="53" applyFont="1" applyAlignment="1" applyProtection="1">
      <alignment horizontal="left" vertical="top"/>
    </xf>
    <xf numFmtId="182" fontId="9" fillId="0" borderId="0" xfId="54" applyNumberFormat="1" applyFont="1" applyAlignment="1">
      <alignment horizontal="left" vertical="center" shrinkToFit="1"/>
    </xf>
    <xf numFmtId="0" fontId="9" fillId="0" borderId="5" xfId="54" applyFont="1" applyBorder="1" applyAlignment="1">
      <alignment horizontal="left" vertical="center" shrinkToFit="1"/>
    </xf>
    <xf numFmtId="31" fontId="9" fillId="0" borderId="5" xfId="54" applyNumberFormat="1" applyFont="1" applyBorder="1" applyAlignment="1">
      <alignment horizontal="left" vertical="center" shrinkToFit="1"/>
    </xf>
    <xf numFmtId="0" fontId="19" fillId="0" borderId="5" xfId="0" applyFont="1" applyBorder="1" applyAlignment="1">
      <alignment horizontal="left" vertical="center" shrinkToFit="1"/>
    </xf>
    <xf numFmtId="0" fontId="11" fillId="0" borderId="0" xfId="56" applyFont="1" applyAlignment="1" applyProtection="1">
      <alignment horizontal="left" vertical="top"/>
    </xf>
    <xf numFmtId="0" fontId="21" fillId="0" borderId="0" xfId="0" applyFont="1" applyFill="1" applyAlignment="1">
      <alignment horizontal="left" vertical="center"/>
    </xf>
    <xf numFmtId="0" fontId="7" fillId="0" borderId="0" xfId="53" applyFont="1" applyAlignment="1" applyProtection="1">
      <alignment horizontal="left" vertical="top"/>
      <protection locked="0"/>
    </xf>
    <xf numFmtId="183" fontId="6" fillId="0" borderId="0" xfId="54" applyNumberFormat="1" applyFont="1" applyAlignment="1">
      <alignment horizontal="left" vertical="center" shrinkToFit="1"/>
    </xf>
    <xf numFmtId="0" fontId="22" fillId="0" borderId="0" xfId="54" applyFont="1" applyAlignment="1">
      <alignment horizontal="left" vertical="center" wrapText="1"/>
    </xf>
    <xf numFmtId="0" fontId="7" fillId="0" borderId="4" xfId="53" applyFont="1" applyBorder="1" applyAlignment="1" applyProtection="1">
      <alignment horizontal="center" vertical="center" wrapText="1"/>
      <protection locked="0"/>
    </xf>
    <xf numFmtId="0" fontId="7" fillId="0" borderId="5" xfId="53" applyFont="1" applyBorder="1" applyAlignment="1" applyProtection="1">
      <alignment vertical="center" wrapText="1"/>
    </xf>
    <xf numFmtId="182" fontId="7" fillId="0" borderId="5" xfId="53" applyNumberFormat="1" applyFont="1" applyBorder="1" applyAlignment="1" applyProtection="1">
      <alignment horizontal="center" vertical="center"/>
    </xf>
    <xf numFmtId="0" fontId="7" fillId="0" borderId="5" xfId="53" applyFont="1" applyBorder="1" applyAlignment="1" applyProtection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1" fillId="0" borderId="0" xfId="0" applyFont="1" applyFill="1" applyAlignment="1">
      <alignment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Fill="1" applyAlignment="1">
      <alignment vertical="center"/>
    </xf>
    <xf numFmtId="0" fontId="27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vertical="center"/>
    </xf>
    <xf numFmtId="0" fontId="7" fillId="0" borderId="0" xfId="53" applyFont="1" applyFill="1" applyBorder="1" applyAlignment="1" applyProtection="1">
      <alignment vertical="top"/>
      <protection locked="0"/>
    </xf>
    <xf numFmtId="0" fontId="5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center" vertical="center"/>
    </xf>
    <xf numFmtId="0" fontId="7" fillId="0" borderId="0" xfId="53" applyFont="1" applyBorder="1" applyAlignment="1" applyProtection="1">
      <alignment vertical="top"/>
      <protection locked="0"/>
    </xf>
    <xf numFmtId="0" fontId="5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left" vertical="center"/>
    </xf>
    <xf numFmtId="182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9" fontId="7" fillId="0" borderId="0" xfId="53" applyNumberFormat="1" applyFont="1" applyAlignment="1" applyProtection="1">
      <alignment horizontal="center" vertical="center"/>
    </xf>
    <xf numFmtId="0" fontId="28" fillId="0" borderId="0" xfId="53" applyFont="1" applyAlignment="1" applyProtection="1">
      <alignment horizontal="center" vertical="center"/>
      <protection locked="0"/>
    </xf>
    <xf numFmtId="0" fontId="8" fillId="0" borderId="0" xfId="0" applyFont="1" applyFill="1" applyAlignment="1">
      <alignment horizontal="center" vertical="center"/>
    </xf>
    <xf numFmtId="180" fontId="6" fillId="0" borderId="0" xfId="56" applyNumberFormat="1" applyFont="1" applyBorder="1" applyAlignment="1" applyProtection="1">
      <alignment horizontal="center" vertical="center"/>
    </xf>
    <xf numFmtId="178" fontId="6" fillId="0" borderId="0" xfId="56" applyNumberFormat="1" applyFont="1" applyBorder="1" applyAlignment="1" applyProtection="1">
      <alignment horizontal="center" vertical="center"/>
    </xf>
    <xf numFmtId="0" fontId="7" fillId="0" borderId="0" xfId="53" applyFont="1" applyAlignment="1" applyProtection="1">
      <alignment horizontal="center" vertical="center"/>
    </xf>
    <xf numFmtId="0" fontId="13" fillId="0" borderId="4" xfId="53" applyFont="1" applyBorder="1" applyAlignment="1" applyProtection="1">
      <alignment vertical="center" wrapText="1"/>
      <protection locked="0"/>
    </xf>
    <xf numFmtId="180" fontId="7" fillId="0" borderId="0" xfId="53" applyNumberFormat="1" applyFont="1" applyAlignment="1" applyProtection="1">
      <alignment horizontal="center" vertical="center"/>
      <protection locked="0"/>
    </xf>
    <xf numFmtId="177" fontId="7" fillId="0" borderId="5" xfId="53" applyNumberFormat="1" applyFont="1" applyBorder="1" applyAlignment="1" applyProtection="1">
      <alignment horizontal="center" vertical="center"/>
      <protection locked="0"/>
    </xf>
    <xf numFmtId="180" fontId="7" fillId="0" borderId="5" xfId="53" applyNumberFormat="1" applyFont="1" applyBorder="1" applyAlignment="1" applyProtection="1">
      <alignment horizontal="center" vertical="center"/>
      <protection locked="0"/>
    </xf>
    <xf numFmtId="10" fontId="7" fillId="0" borderId="0" xfId="53" applyNumberFormat="1" applyFont="1" applyAlignment="1" applyProtection="1">
      <alignment horizontal="center" vertical="center"/>
      <protection locked="0"/>
    </xf>
    <xf numFmtId="10" fontId="7" fillId="0" borderId="5" xfId="53" applyNumberFormat="1" applyFont="1" applyBorder="1" applyAlignment="1" applyProtection="1">
      <alignment horizontal="center" vertical="center"/>
      <protection locked="0"/>
    </xf>
    <xf numFmtId="0" fontId="29" fillId="0" borderId="0" xfId="53" applyFont="1" applyAlignment="1">
      <alignment vertical="top"/>
    </xf>
    <xf numFmtId="0" fontId="11" fillId="0" borderId="0" xfId="56" applyFont="1" applyAlignment="1" applyProtection="1">
      <alignment vertical="top" wrapText="1"/>
    </xf>
    <xf numFmtId="0" fontId="6" fillId="0" borderId="0" xfId="53" applyFont="1" applyAlignment="1">
      <alignment vertical="center" wrapText="1"/>
    </xf>
    <xf numFmtId="0" fontId="30" fillId="0" borderId="0" xfId="0" applyFont="1" applyAlignment="1">
      <alignment vertical="center" shrinkToFit="1"/>
    </xf>
    <xf numFmtId="0" fontId="6" fillId="0" borderId="0" xfId="54" applyFont="1" applyAlignment="1">
      <alignment horizontal="left" vertical="center" shrinkToFit="1"/>
    </xf>
    <xf numFmtId="0" fontId="22" fillId="0" borderId="0" xfId="54" applyFont="1" applyAlignment="1">
      <alignment vertical="top" wrapText="1"/>
    </xf>
    <xf numFmtId="0" fontId="6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177" fontId="6" fillId="0" borderId="0" xfId="0" applyNumberFormat="1" applyFont="1">
      <alignment vertical="center"/>
    </xf>
    <xf numFmtId="0" fontId="20" fillId="0" borderId="0" xfId="53" applyFont="1" applyAlignment="1" applyProtection="1">
      <alignment horizontal="left" vertical="top"/>
      <protection locked="0"/>
    </xf>
    <xf numFmtId="0" fontId="19" fillId="0" borderId="0" xfId="0" applyFont="1" applyBorder="1" applyAlignment="1">
      <alignment horizontal="left" vertical="center" shrinkToFit="1"/>
    </xf>
    <xf numFmtId="0" fontId="20" fillId="0" borderId="0" xfId="53" applyFont="1" applyAlignment="1" applyProtection="1">
      <alignment horizontal="center" vertical="center"/>
    </xf>
    <xf numFmtId="0" fontId="20" fillId="0" borderId="5" xfId="53" applyFont="1" applyBorder="1" applyAlignment="1" applyProtection="1">
      <alignment horizontal="right" vertical="center"/>
    </xf>
    <xf numFmtId="9" fontId="20" fillId="0" borderId="5" xfId="53" applyNumberFormat="1" applyFont="1" applyBorder="1" applyAlignment="1" applyProtection="1">
      <alignment horizontal="left" vertical="center"/>
    </xf>
    <xf numFmtId="0" fontId="7" fillId="0" borderId="5" xfId="53" applyFont="1" applyBorder="1" applyAlignment="1" applyProtection="1">
      <alignment vertical="top"/>
      <protection locked="0"/>
    </xf>
    <xf numFmtId="0" fontId="20" fillId="0" borderId="5" xfId="53" applyFont="1" applyBorder="1" applyAlignment="1" applyProtection="1">
      <alignment vertical="top"/>
      <protection locked="0"/>
    </xf>
    <xf numFmtId="0" fontId="9" fillId="0" borderId="4" xfId="56" applyFont="1" applyBorder="1" applyAlignment="1" applyProtection="1">
      <alignment vertical="center"/>
    </xf>
    <xf numFmtId="0" fontId="9" fillId="0" borderId="4" xfId="56" applyFont="1" applyBorder="1" applyAlignment="1" applyProtection="1">
      <alignment horizontal="center" vertical="center"/>
    </xf>
    <xf numFmtId="0" fontId="9" fillId="0" borderId="0" xfId="56" applyFont="1" applyAlignment="1" applyProtection="1">
      <alignment vertical="center" wrapText="1"/>
    </xf>
    <xf numFmtId="0" fontId="9" fillId="0" borderId="0" xfId="56" applyFont="1" applyAlignment="1" applyProtection="1">
      <alignment vertical="center"/>
    </xf>
    <xf numFmtId="177" fontId="9" fillId="0" borderId="0" xfId="56" applyNumberFormat="1" applyFont="1" applyAlignment="1" applyProtection="1">
      <alignment horizontal="center" vertical="center"/>
    </xf>
    <xf numFmtId="0" fontId="9" fillId="0" borderId="5" xfId="56" applyFont="1" applyBorder="1" applyAlignment="1" applyProtection="1">
      <alignment vertical="center"/>
    </xf>
    <xf numFmtId="0" fontId="9" fillId="0" borderId="5" xfId="56" applyFont="1" applyBorder="1" applyAlignment="1" applyProtection="1">
      <alignment vertical="center"/>
    </xf>
    <xf numFmtId="177" fontId="9" fillId="0" borderId="5" xfId="56" applyNumberFormat="1" applyFont="1" applyBorder="1" applyAlignment="1" applyProtection="1">
      <alignment horizontal="center" vertical="center"/>
    </xf>
    <xf numFmtId="9" fontId="11" fillId="0" borderId="0" xfId="56" applyNumberFormat="1" applyFont="1" applyAlignment="1" applyProtection="1">
      <alignment horizontal="center" vertical="center"/>
    </xf>
    <xf numFmtId="179" fontId="20" fillId="0" borderId="0" xfId="53" applyNumberFormat="1" applyFont="1" applyAlignment="1" applyProtection="1">
      <alignment horizontal="left" vertical="center"/>
      <protection locked="0"/>
    </xf>
    <xf numFmtId="0" fontId="20" fillId="0" borderId="0" xfId="53" applyFont="1" applyAlignment="1" applyProtection="1">
      <alignment horizontal="right" vertical="center"/>
    </xf>
    <xf numFmtId="9" fontId="20" fillId="0" borderId="0" xfId="53" applyNumberFormat="1" applyFont="1" applyBorder="1" applyAlignment="1" applyProtection="1">
      <alignment horizontal="left" vertical="center"/>
    </xf>
    <xf numFmtId="179" fontId="9" fillId="0" borderId="0" xfId="56" applyNumberFormat="1" applyFont="1" applyAlignment="1" applyProtection="1">
      <alignment horizontal="center" vertical="center"/>
    </xf>
    <xf numFmtId="0" fontId="8" fillId="0" borderId="0" xfId="0" applyFont="1" applyFill="1" applyAlignment="1"/>
    <xf numFmtId="0" fontId="34" fillId="0" borderId="0" xfId="54" applyFont="1" applyAlignment="1">
      <alignment horizontal="center" vertical="top"/>
    </xf>
    <xf numFmtId="0" fontId="26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vertical="center" wrapText="1"/>
    </xf>
    <xf numFmtId="0" fontId="35" fillId="0" borderId="0" xfId="54" applyFont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shrinkToFit="1"/>
    </xf>
    <xf numFmtId="0" fontId="19" fillId="0" borderId="0" xfId="0" applyFont="1" applyFill="1" applyBorder="1" applyAlignment="1">
      <alignment horizontal="left" vertical="center" shrinkToFit="1"/>
    </xf>
    <xf numFmtId="0" fontId="21" fillId="0" borderId="0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 shrinkToFit="1"/>
    </xf>
    <xf numFmtId="182" fontId="9" fillId="0" borderId="0" xfId="54" applyNumberFormat="1" applyFont="1" applyBorder="1" applyAlignment="1">
      <alignment horizontal="left" vertical="center" shrinkToFit="1"/>
    </xf>
    <xf numFmtId="0" fontId="8" fillId="0" borderId="0" xfId="0" applyFont="1" applyFill="1" applyAlignment="1">
      <alignment horizontal="right" vertical="center"/>
    </xf>
    <xf numFmtId="10" fontId="21" fillId="0" borderId="0" xfId="0" applyNumberFormat="1" applyFont="1" applyFill="1" applyAlignment="1">
      <alignment horizontal="left" vertical="center"/>
    </xf>
    <xf numFmtId="0" fontId="21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right" vertical="center"/>
    </xf>
    <xf numFmtId="10" fontId="21" fillId="0" borderId="5" xfId="0" applyNumberFormat="1" applyFont="1" applyFill="1" applyBorder="1" applyAlignment="1">
      <alignment horizontal="left" vertical="center"/>
    </xf>
    <xf numFmtId="0" fontId="22" fillId="0" borderId="5" xfId="54" applyFont="1" applyBorder="1" applyAlignment="1">
      <alignment horizontal="left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/>
    </xf>
    <xf numFmtId="177" fontId="21" fillId="0" borderId="0" xfId="0" applyNumberFormat="1" applyFont="1" applyFill="1" applyAlignment="1">
      <alignment horizontal="center" vertical="center"/>
    </xf>
    <xf numFmtId="10" fontId="21" fillId="0" borderId="0" xfId="0" applyNumberFormat="1" applyFont="1" applyFill="1" applyAlignment="1">
      <alignment horizontal="center" vertical="center"/>
    </xf>
    <xf numFmtId="177" fontId="21" fillId="0" borderId="5" xfId="0" applyNumberFormat="1" applyFont="1" applyFill="1" applyBorder="1" applyAlignment="1">
      <alignment horizontal="center" vertical="center"/>
    </xf>
    <xf numFmtId="10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vertical="center"/>
    </xf>
    <xf numFmtId="0" fontId="36" fillId="0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179" fontId="15" fillId="0" borderId="0" xfId="0" applyNumberFormat="1" applyFont="1" applyFill="1" applyBorder="1" applyAlignment="1">
      <alignment horizontal="center" vertical="center"/>
    </xf>
    <xf numFmtId="177" fontId="15" fillId="0" borderId="0" xfId="0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 vertical="center"/>
    </xf>
    <xf numFmtId="179" fontId="8" fillId="0" borderId="0" xfId="0" applyNumberFormat="1" applyFont="1" applyFill="1" applyBorder="1" applyAlignment="1">
      <alignment horizontal="center" vertical="center"/>
    </xf>
    <xf numFmtId="10" fontId="8" fillId="0" borderId="0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right" vertical="center"/>
    </xf>
    <xf numFmtId="179" fontId="8" fillId="0" borderId="0" xfId="0" applyNumberFormat="1" applyFont="1" applyFill="1" applyAlignment="1">
      <alignment horizontal="center" vertical="center"/>
    </xf>
    <xf numFmtId="0" fontId="39" fillId="0" borderId="0" xfId="0" applyFont="1" applyFill="1" applyBorder="1" applyAlignment="1">
      <alignment horizontal="right" vertical="center"/>
    </xf>
    <xf numFmtId="0" fontId="38" fillId="0" borderId="0" xfId="0" applyFont="1" applyFill="1" applyBorder="1" applyAlignment="1">
      <alignment horizontal="left" vertical="center"/>
    </xf>
    <xf numFmtId="0" fontId="9" fillId="0" borderId="0" xfId="54" applyNumberFormat="1" applyFont="1" applyBorder="1" applyAlignment="1">
      <alignment horizontal="left" vertical="center" shrinkToFit="1"/>
    </xf>
    <xf numFmtId="10" fontId="15" fillId="0" borderId="0" xfId="0" applyNumberFormat="1" applyFont="1" applyFill="1" applyBorder="1" applyAlignment="1">
      <alignment horizontal="center" vertical="center"/>
    </xf>
    <xf numFmtId="177" fontId="15" fillId="0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0" fontId="39" fillId="0" borderId="0" xfId="0" applyFont="1" applyFill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center" wrapText="1"/>
    </xf>
    <xf numFmtId="0" fontId="38" fillId="0" borderId="0" xfId="0" applyFont="1" applyFill="1" applyAlignment="1">
      <alignment horizontal="left" vertical="center" wrapText="1"/>
    </xf>
    <xf numFmtId="0" fontId="38" fillId="0" borderId="0" xfId="0" applyFont="1" applyFill="1" applyAlignment="1">
      <alignment vertical="center"/>
    </xf>
    <xf numFmtId="0" fontId="41" fillId="0" borderId="0" xfId="0" applyFont="1" applyFill="1" applyAlignment="1">
      <alignment horizontal="left" vertical="center" wrapText="1"/>
    </xf>
    <xf numFmtId="0" fontId="38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179" fontId="37" fillId="0" borderId="0" xfId="0" applyNumberFormat="1" applyFont="1" applyFill="1" applyBorder="1" applyAlignment="1">
      <alignment horizontal="center" vertical="center"/>
    </xf>
    <xf numFmtId="0" fontId="42" fillId="0" borderId="0" xfId="54" applyFont="1" applyAlignment="1">
      <alignment vertical="top"/>
    </xf>
    <xf numFmtId="0" fontId="42" fillId="0" borderId="0" xfId="54" applyFont="1">
      <alignment vertical="center"/>
    </xf>
    <xf numFmtId="0" fontId="0" fillId="0" borderId="0" xfId="0" applyAlignment="1">
      <alignment vertical="top"/>
    </xf>
    <xf numFmtId="0" fontId="42" fillId="0" borderId="6" xfId="54" applyFont="1" applyBorder="1" applyAlignment="1">
      <alignment horizontal="left" vertical="center"/>
    </xf>
    <xf numFmtId="0" fontId="42" fillId="0" borderId="0" xfId="54" applyFont="1" applyBorder="1" applyAlignment="1">
      <alignment horizontal="left" vertical="center"/>
    </xf>
    <xf numFmtId="0" fontId="42" fillId="0" borderId="0" xfId="54" applyFont="1" applyAlignment="1">
      <alignment horizontal="left" vertical="center"/>
    </xf>
    <xf numFmtId="9" fontId="42" fillId="0" borderId="0" xfId="54" applyNumberFormat="1" applyFont="1" applyAlignment="1">
      <alignment horizontal="left" vertical="center"/>
    </xf>
    <xf numFmtId="0" fontId="42" fillId="0" borderId="0" xfId="54" applyFont="1" applyAlignment="1">
      <alignment horizontal="left" vertical="center" shrinkToFit="1"/>
    </xf>
    <xf numFmtId="0" fontId="42" fillId="0" borderId="0" xfId="54" applyFont="1" applyBorder="1" applyAlignment="1">
      <alignment horizontal="left" vertical="center" shrinkToFit="1"/>
    </xf>
    <xf numFmtId="0" fontId="42" fillId="0" borderId="5" xfId="54" applyFont="1" applyBorder="1" applyAlignment="1">
      <alignment horizontal="left" vertical="center"/>
    </xf>
    <xf numFmtId="0" fontId="42" fillId="0" borderId="5" xfId="54" applyFont="1" applyBorder="1">
      <alignment vertical="center"/>
    </xf>
    <xf numFmtId="0" fontId="43" fillId="0" borderId="4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9" fontId="43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3" fillId="0" borderId="0" xfId="0" applyFont="1" applyFill="1" applyAlignment="1">
      <alignment horizontal="center" vertical="center" wrapText="1"/>
    </xf>
    <xf numFmtId="0" fontId="45" fillId="0" borderId="0" xfId="54" applyFont="1">
      <alignment vertical="center"/>
    </xf>
    <xf numFmtId="0" fontId="46" fillId="0" borderId="0" xfId="0" applyFont="1" applyAlignment="1">
      <alignment horizontal="left" vertical="center" wrapText="1"/>
    </xf>
    <xf numFmtId="0" fontId="42" fillId="0" borderId="0" xfId="54" applyFont="1" applyBorder="1" applyAlignment="1">
      <alignment vertical="center"/>
    </xf>
    <xf numFmtId="0" fontId="47" fillId="0" borderId="0" xfId="62" applyFont="1"/>
    <xf numFmtId="0" fontId="47" fillId="0" borderId="0" xfId="62" applyFont="1" applyAlignment="1"/>
    <xf numFmtId="0" fontId="47" fillId="0" borderId="1" xfId="62" applyFont="1" applyBorder="1" applyAlignment="1">
      <alignment vertical="center"/>
    </xf>
    <xf numFmtId="0" fontId="47" fillId="0" borderId="1" xfId="62" applyFont="1" applyBorder="1" applyAlignment="1">
      <alignment horizontal="left" vertical="center"/>
    </xf>
    <xf numFmtId="49" fontId="47" fillId="0" borderId="1" xfId="62" applyNumberFormat="1" applyFont="1" applyBorder="1" applyAlignment="1">
      <alignment horizontal="left" vertical="center"/>
    </xf>
    <xf numFmtId="0" fontId="48" fillId="2" borderId="0" xfId="62" applyFont="1" applyFill="1" applyAlignment="1">
      <alignment horizontal="center" vertical="center"/>
    </xf>
    <xf numFmtId="0" fontId="49" fillId="2" borderId="0" xfId="62" applyFont="1" applyFill="1" applyAlignment="1">
      <alignment horizontal="center" vertical="center"/>
    </xf>
    <xf numFmtId="0" fontId="50" fillId="2" borderId="0" xfId="62" applyFont="1" applyFill="1" applyAlignment="1">
      <alignment horizontal="center" vertical="center"/>
    </xf>
    <xf numFmtId="0" fontId="51" fillId="2" borderId="0" xfId="62" applyFont="1" applyFill="1" applyAlignment="1">
      <alignment horizontal="right" vertical="center"/>
    </xf>
    <xf numFmtId="0" fontId="51" fillId="2" borderId="5" xfId="62" applyFont="1" applyFill="1" applyBorder="1" applyAlignment="1">
      <alignment vertical="center"/>
    </xf>
    <xf numFmtId="0" fontId="52" fillId="0" borderId="0" xfId="62" applyFont="1" applyAlignment="1">
      <alignment vertical="center"/>
    </xf>
    <xf numFmtId="0" fontId="53" fillId="0" borderId="0" xfId="62" applyFont="1" applyAlignment="1"/>
    <xf numFmtId="0" fontId="51" fillId="2" borderId="0" xfId="62" applyFont="1" applyFill="1" applyAlignment="1">
      <alignment vertical="center"/>
    </xf>
    <xf numFmtId="184" fontId="51" fillId="2" borderId="5" xfId="62" applyNumberFormat="1" applyFont="1" applyFill="1" applyBorder="1" applyAlignment="1">
      <alignment horizontal="distributed" vertical="center"/>
    </xf>
    <xf numFmtId="184" fontId="51" fillId="2" borderId="5" xfId="62" applyNumberFormat="1" applyFont="1" applyFill="1" applyBorder="1" applyAlignment="1">
      <alignment vertical="center"/>
    </xf>
    <xf numFmtId="0" fontId="53" fillId="0" borderId="0" xfId="62" applyFont="1"/>
    <xf numFmtId="0" fontId="47" fillId="0" borderId="0" xfId="62" applyFont="1" applyAlignment="1">
      <alignment horizontal="distributed"/>
    </xf>
    <xf numFmtId="0" fontId="54" fillId="0" borderId="0" xfId="62" applyFont="1" applyAlignment="1">
      <alignment vertical="center"/>
    </xf>
    <xf numFmtId="184" fontId="55" fillId="0" borderId="0" xfId="62" applyNumberFormat="1" applyFont="1" applyAlignment="1">
      <alignment vertical="center"/>
    </xf>
    <xf numFmtId="0" fontId="47" fillId="0" borderId="0" xfId="62" applyFont="1" applyBorder="1"/>
    <xf numFmtId="0" fontId="56" fillId="2" borderId="0" xfId="62" applyFont="1" applyFill="1" applyBorder="1" applyAlignment="1">
      <alignment vertical="center"/>
    </xf>
    <xf numFmtId="0" fontId="47" fillId="0" borderId="0" xfId="62" applyFont="1" applyBorder="1" applyAlignment="1"/>
    <xf numFmtId="184" fontId="56" fillId="2" borderId="0" xfId="62" applyNumberFormat="1" applyFont="1" applyFill="1" applyAlignment="1">
      <alignment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常规 2" xfId="51"/>
    <cellStyle name="常规 2 2" xfId="52"/>
    <cellStyle name="常规 2 3" xfId="53"/>
    <cellStyle name="常规 3" xfId="54"/>
    <cellStyle name="常规 3 2" xfId="55"/>
    <cellStyle name="常规 3 3" xfId="56"/>
    <cellStyle name="常规 4" xfId="57"/>
    <cellStyle name="常规 4 2" xfId="58"/>
    <cellStyle name="常规 5" xfId="59"/>
    <cellStyle name="常规 6" xfId="60"/>
    <cellStyle name="常规 69" xfId="61"/>
    <cellStyle name="常规 7" xfId="62"/>
    <cellStyle name="常规_EP15-A2 比对_E411测量池比对_20100414 2" xfId="63"/>
    <cellStyle name="常规_生化项目线性评估方案" xfId="64"/>
    <cellStyle name="常规_仪器检定校准报告_XE_A1560NEW" xfId="6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7665;&#33322;&#24635;&#21307;&#38498;\&#29983;&#20813;&#32452;\&#25991;&#20214;&#26723;&#26696;\&#34920;&#26684;&#27169;&#26495;\&#39033;&#30446;\&#23450;&#37327;&#39033;&#30446;&#24615;&#33021;&#39564;&#35777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封面"/>
      <sheetName val="结果汇总"/>
      <sheetName val="精密度"/>
      <sheetName val="正确度-偏倚评估"/>
      <sheetName val="正确度-比对"/>
      <sheetName val="简化-线性范围"/>
      <sheetName val="线性范围"/>
      <sheetName val="可报告范围"/>
      <sheetName val="分析特异性"/>
      <sheetName val="原始数据"/>
    </sheetNames>
    <sheetDataSet>
      <sheetData sheetId="0">
        <row r="30">
          <cell r="E30" t="str">
            <v>MHZYY-JYK-SM-1006</v>
          </cell>
        </row>
        <row r="32">
          <cell r="E32" t="str">
            <v>金子铮</v>
          </cell>
        </row>
        <row r="34">
          <cell r="E34" t="str">
            <v>杨静</v>
          </cell>
        </row>
      </sheetData>
      <sheetData sheetId="1">
        <row r="3">
          <cell r="B3" t="str">
            <v>降钙素（CT）</v>
          </cell>
        </row>
        <row r="3">
          <cell r="G3" t="str">
            <v>DXI800急诊</v>
          </cell>
        </row>
        <row r="4">
          <cell r="B4" t="str">
            <v>化学发光法</v>
          </cell>
        </row>
        <row r="4">
          <cell r="G4" t="str">
            <v>MHZYY-JYK-SM-1006</v>
          </cell>
        </row>
        <row r="5">
          <cell r="B5" t="str">
            <v>ng/L</v>
          </cell>
        </row>
        <row r="5">
          <cell r="G5">
            <v>0.3</v>
          </cell>
        </row>
        <row r="6">
          <cell r="B6" t="str">
            <v>沃文特降钙素测定试剂盒</v>
          </cell>
        </row>
        <row r="6">
          <cell r="G6">
            <v>407421</v>
          </cell>
        </row>
        <row r="7">
          <cell r="B7" t="str">
            <v>沃文特试剂盒自带校准品</v>
          </cell>
        </row>
        <row r="7">
          <cell r="G7">
            <v>407421</v>
          </cell>
        </row>
      </sheetData>
      <sheetData sheetId="2">
        <row r="34">
          <cell r="A34" t="str">
            <v>符合要求</v>
          </cell>
        </row>
      </sheetData>
      <sheetData sheetId="3">
        <row r="21">
          <cell r="C21">
            <v>45426</v>
          </cell>
        </row>
        <row r="32">
          <cell r="A32" t="str">
            <v>符合要求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view="pageBreakPreview" zoomScaleNormal="100" topLeftCell="A20" workbookViewId="0">
      <selection activeCell="I24" sqref="I24"/>
    </sheetView>
  </sheetViews>
  <sheetFormatPr defaultColWidth="9" defaultRowHeight="12"/>
  <cols>
    <col min="1" max="1" width="11" style="255" customWidth="1"/>
    <col min="2" max="2" width="1.66666666666667" style="255" customWidth="1"/>
    <col min="3" max="10" width="11" style="255" customWidth="1"/>
    <col min="11" max="11" width="10.7777777777778" style="255" customWidth="1"/>
    <col min="12" max="16384" width="8.88888888888889" style="255"/>
  </cols>
  <sheetData>
    <row r="1" spans="1:10">
      <c r="A1" s="256"/>
      <c r="B1" s="256"/>
      <c r="C1" s="256"/>
      <c r="D1" s="256"/>
      <c r="E1" s="256"/>
      <c r="F1" s="256"/>
      <c r="G1" s="256"/>
      <c r="H1" s="256"/>
      <c r="I1" s="256"/>
      <c r="J1" s="256"/>
    </row>
    <row r="2" ht="18" customHeight="1" spans="1:10">
      <c r="A2" s="256"/>
      <c r="B2" s="256"/>
      <c r="C2" s="257" t="s">
        <v>0</v>
      </c>
      <c r="D2" s="258" t="s">
        <v>1</v>
      </c>
      <c r="E2" s="258"/>
      <c r="F2" s="258"/>
      <c r="G2" s="258"/>
      <c r="H2" s="258"/>
      <c r="I2" s="256"/>
      <c r="J2" s="256"/>
    </row>
    <row r="3" ht="18" customHeight="1" spans="1:10">
      <c r="A3" s="256"/>
      <c r="B3" s="256"/>
      <c r="C3" s="258" t="s">
        <v>2</v>
      </c>
      <c r="D3" s="258" t="s">
        <v>3</v>
      </c>
      <c r="E3" s="258"/>
      <c r="F3" s="258"/>
      <c r="G3" s="258" t="s">
        <v>4</v>
      </c>
      <c r="H3" s="259" t="s">
        <v>5</v>
      </c>
      <c r="I3" s="256"/>
      <c r="J3" s="256"/>
    </row>
    <row r="4" ht="18" customHeight="1" spans="1:10">
      <c r="A4" s="256"/>
      <c r="B4" s="256"/>
      <c r="C4" s="258" t="s">
        <v>6</v>
      </c>
      <c r="D4" s="258" t="s">
        <v>7</v>
      </c>
      <c r="E4" s="258" t="s">
        <v>8</v>
      </c>
      <c r="F4" s="258" t="s">
        <v>9</v>
      </c>
      <c r="G4" s="258" t="s">
        <v>10</v>
      </c>
      <c r="H4" s="258">
        <v>0</v>
      </c>
      <c r="I4" s="256"/>
      <c r="J4" s="256"/>
    </row>
    <row r="5" ht="18" customHeight="1" spans="1:10">
      <c r="A5" s="256"/>
      <c r="B5" s="256"/>
      <c r="C5" s="258" t="s">
        <v>11</v>
      </c>
      <c r="D5" s="258" t="s">
        <v>12</v>
      </c>
      <c r="E5" s="258" t="s">
        <v>13</v>
      </c>
      <c r="F5" s="258" t="s">
        <v>14</v>
      </c>
      <c r="G5" s="258" t="s">
        <v>15</v>
      </c>
      <c r="H5" s="258" t="s">
        <v>16</v>
      </c>
      <c r="I5" s="256"/>
      <c r="J5" s="256"/>
    </row>
    <row r="7" ht="12.6" customHeight="1" spans="1:10">
      <c r="A7" s="260" t="s">
        <v>17</v>
      </c>
      <c r="B7" s="261"/>
      <c r="C7" s="261"/>
      <c r="D7" s="261"/>
      <c r="E7" s="261"/>
      <c r="F7" s="261"/>
      <c r="G7" s="261"/>
      <c r="H7" s="261"/>
      <c r="I7" s="261"/>
      <c r="J7" s="261"/>
    </row>
    <row r="8" ht="12.6" customHeight="1" spans="1:10">
      <c r="A8" s="261"/>
      <c r="B8" s="261"/>
      <c r="C8" s="261"/>
      <c r="D8" s="261"/>
      <c r="E8" s="261"/>
      <c r="F8" s="261"/>
      <c r="G8" s="261"/>
      <c r="H8" s="261"/>
      <c r="I8" s="261"/>
      <c r="J8" s="261"/>
    </row>
    <row r="9" ht="12.6" customHeight="1" spans="1:10">
      <c r="A9" s="261"/>
      <c r="B9" s="261"/>
      <c r="C9" s="261"/>
      <c r="D9" s="261"/>
      <c r="E9" s="261"/>
      <c r="F9" s="261"/>
      <c r="G9" s="261"/>
      <c r="H9" s="261"/>
      <c r="I9" s="261"/>
      <c r="J9" s="261"/>
    </row>
    <row r="11" ht="52" customHeight="1" spans="1:10">
      <c r="A11" s="262" t="s">
        <v>18</v>
      </c>
      <c r="B11" s="262"/>
      <c r="C11" s="262"/>
      <c r="D11" s="262"/>
      <c r="E11" s="262"/>
      <c r="F11" s="262"/>
      <c r="G11" s="262"/>
      <c r="H11" s="262"/>
      <c r="I11" s="262"/>
      <c r="J11" s="262"/>
    </row>
    <row r="12" ht="12.6" customHeight="1" spans="1:10">
      <c r="A12" s="262"/>
      <c r="B12" s="262"/>
      <c r="C12" s="262"/>
      <c r="D12" s="262"/>
      <c r="E12" s="262"/>
      <c r="F12" s="262"/>
      <c r="G12" s="262"/>
      <c r="H12" s="262"/>
      <c r="I12" s="262"/>
      <c r="J12" s="262"/>
    </row>
    <row r="13" spans="1:10">
      <c r="A13" s="262"/>
      <c r="B13" s="262"/>
      <c r="C13" s="262"/>
      <c r="D13" s="262"/>
      <c r="E13" s="262"/>
      <c r="F13" s="262"/>
      <c r="G13" s="262"/>
      <c r="H13" s="262"/>
      <c r="I13" s="262"/>
      <c r="J13" s="262"/>
    </row>
    <row r="14" spans="1:10">
      <c r="A14" s="262"/>
      <c r="B14" s="262"/>
      <c r="C14" s="262"/>
      <c r="D14" s="262"/>
      <c r="E14" s="262"/>
      <c r="F14" s="262"/>
      <c r="G14" s="262"/>
      <c r="H14" s="262"/>
      <c r="I14" s="262"/>
      <c r="J14" s="262"/>
    </row>
    <row r="15" spans="1:10">
      <c r="A15" s="262"/>
      <c r="B15" s="262"/>
      <c r="C15" s="262"/>
      <c r="D15" s="262"/>
      <c r="E15" s="262"/>
      <c r="F15" s="262"/>
      <c r="G15" s="262"/>
      <c r="H15" s="262"/>
      <c r="I15" s="262"/>
      <c r="J15" s="262"/>
    </row>
    <row r="20" ht="24" customHeight="1" spans="4:8">
      <c r="D20" s="263" t="s">
        <v>19</v>
      </c>
      <c r="E20" s="264" t="s">
        <v>20</v>
      </c>
      <c r="F20" s="264"/>
      <c r="G20" s="264"/>
      <c r="H20" s="264"/>
    </row>
    <row r="21" ht="24" customHeight="1" spans="1:8">
      <c r="A21" s="265"/>
      <c r="B21" s="265"/>
      <c r="C21" s="265"/>
      <c r="D21" s="265"/>
      <c r="E21" s="265"/>
      <c r="F21" s="265"/>
      <c r="G21" s="265"/>
      <c r="H21" s="265"/>
    </row>
    <row r="22" ht="24" customHeight="1" spans="1:9">
      <c r="A22" s="265"/>
      <c r="B22" s="265"/>
      <c r="D22" s="263" t="s">
        <v>21</v>
      </c>
      <c r="E22" s="264" t="s">
        <v>22</v>
      </c>
      <c r="F22" s="264"/>
      <c r="G22" s="264"/>
      <c r="H22" s="264"/>
      <c r="I22" s="274"/>
    </row>
    <row r="23" ht="24" customHeight="1" spans="1:9">
      <c r="A23" s="265"/>
      <c r="B23" s="265"/>
      <c r="D23" s="265"/>
      <c r="E23" s="265"/>
      <c r="F23" s="265"/>
      <c r="G23" s="265"/>
      <c r="H23" s="265"/>
      <c r="I23" s="274"/>
    </row>
    <row r="24" ht="24" customHeight="1" spans="4:9">
      <c r="D24" s="263" t="s">
        <v>23</v>
      </c>
      <c r="E24" s="264" t="s">
        <v>24</v>
      </c>
      <c r="F24" s="264"/>
      <c r="G24" s="264"/>
      <c r="H24" s="264"/>
      <c r="I24" s="274"/>
    </row>
    <row r="25" ht="24" customHeight="1" spans="5:9">
      <c r="E25" s="256"/>
      <c r="F25" s="256"/>
      <c r="G25" s="256"/>
      <c r="H25" s="256"/>
      <c r="I25" s="274"/>
    </row>
    <row r="26" ht="24" customHeight="1" spans="4:9">
      <c r="D26" s="263" t="s">
        <v>25</v>
      </c>
      <c r="E26" s="264" t="s">
        <v>22</v>
      </c>
      <c r="F26" s="264"/>
      <c r="G26" s="264"/>
      <c r="H26" s="264"/>
      <c r="I26" s="274"/>
    </row>
    <row r="27" ht="24" customHeight="1" spans="5:9">
      <c r="E27" s="266"/>
      <c r="F27" s="266"/>
      <c r="G27" s="266"/>
      <c r="H27" s="266"/>
      <c r="I27" s="274"/>
    </row>
    <row r="28" ht="24" customHeight="1" spans="4:9">
      <c r="D28" s="263" t="s">
        <v>26</v>
      </c>
      <c r="E28" s="264" t="s">
        <v>27</v>
      </c>
      <c r="F28" s="264"/>
      <c r="G28" s="264"/>
      <c r="H28" s="264"/>
      <c r="I28" s="274"/>
    </row>
    <row r="29" ht="24" customHeight="1" spans="5:9">
      <c r="E29" s="267"/>
      <c r="F29" s="267"/>
      <c r="G29" s="267"/>
      <c r="H29" s="267"/>
      <c r="I29" s="274"/>
    </row>
    <row r="30" ht="24" customHeight="1" spans="4:9">
      <c r="D30" s="263" t="s">
        <v>28</v>
      </c>
      <c r="E30" s="264" t="s">
        <v>29</v>
      </c>
      <c r="F30" s="264"/>
      <c r="G30" s="264"/>
      <c r="H30" s="264"/>
      <c r="I30" s="274"/>
    </row>
    <row r="31" ht="24" customHeight="1" spans="5:9">
      <c r="E31" s="267"/>
      <c r="F31" s="267"/>
      <c r="G31" s="267"/>
      <c r="H31" s="267"/>
      <c r="I31" s="274"/>
    </row>
    <row r="32" ht="24" customHeight="1" spans="4:9">
      <c r="D32" s="263" t="s">
        <v>30</v>
      </c>
      <c r="E32" s="268" t="s">
        <v>12</v>
      </c>
      <c r="F32" s="269"/>
      <c r="G32" s="269"/>
      <c r="H32" s="269"/>
      <c r="I32" s="274"/>
    </row>
    <row r="33" ht="24" customHeight="1" spans="4:9">
      <c r="D33" s="270"/>
      <c r="E33" s="271"/>
      <c r="F33" s="266"/>
      <c r="G33" s="266"/>
      <c r="H33" s="266"/>
      <c r="I33" s="274"/>
    </row>
    <row r="34" ht="24" customHeight="1" spans="4:9">
      <c r="D34" s="263" t="s">
        <v>31</v>
      </c>
      <c r="E34" s="268" t="s">
        <v>14</v>
      </c>
      <c r="F34" s="269"/>
      <c r="G34" s="269"/>
      <c r="H34" s="269"/>
      <c r="I34" s="275"/>
    </row>
    <row r="35" ht="24" customHeight="1" spans="4:9">
      <c r="D35" s="270"/>
      <c r="E35" s="256"/>
      <c r="F35" s="266"/>
      <c r="G35" s="266"/>
      <c r="H35" s="266"/>
      <c r="I35" s="275"/>
    </row>
    <row r="36" ht="24" customHeight="1" spans="4:9">
      <c r="D36" s="263" t="s">
        <v>32</v>
      </c>
      <c r="E36" s="269" t="s">
        <v>33</v>
      </c>
      <c r="F36" s="269"/>
      <c r="G36" s="269"/>
      <c r="H36" s="269"/>
      <c r="I36" s="276"/>
    </row>
    <row r="37" ht="19.95" customHeight="1" spans="3:9">
      <c r="C37" s="272"/>
      <c r="I37" s="277"/>
    </row>
    <row r="38" ht="12.6" customHeight="1" spans="3:5">
      <c r="C38" s="273"/>
      <c r="D38" s="273"/>
      <c r="E38" s="273"/>
    </row>
    <row r="39" ht="12.6" customHeight="1"/>
  </sheetData>
  <mergeCells count="4">
    <mergeCell ref="D2:H2"/>
    <mergeCell ref="D3:F3"/>
    <mergeCell ref="A7:J9"/>
    <mergeCell ref="A11:J15"/>
  </mergeCells>
  <pageMargins left="0.25" right="0.25" top="0.75" bottom="0.75" header="0.3" footer="0.3"/>
  <pageSetup paperSize="9" scale="99" orientation="portrait"/>
  <headerFooter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view="pageBreakPreview" zoomScaleNormal="90" workbookViewId="0">
      <selection activeCell="F21" sqref="F21:G21"/>
    </sheetView>
  </sheetViews>
  <sheetFormatPr defaultColWidth="8.88888888888889" defaultRowHeight="14.4"/>
  <cols>
    <col min="1" max="1" width="14.1111111111111" style="233" customWidth="1"/>
    <col min="2" max="2" width="9" style="233" customWidth="1"/>
    <col min="3" max="3" width="11.4444444444444" style="233" customWidth="1"/>
    <col min="4" max="4" width="9" style="233" customWidth="1"/>
    <col min="5" max="5" width="6.66666666666667" style="233" customWidth="1"/>
    <col min="6" max="6" width="9" style="233" customWidth="1"/>
    <col min="7" max="7" width="12.7037037037037" style="233" customWidth="1"/>
    <col min="8" max="8" width="9" style="233" customWidth="1"/>
    <col min="9" max="9" width="9.88888888888889" style="233" customWidth="1"/>
    <col min="10" max="10" width="13.7777777777778" style="233" customWidth="1"/>
    <col min="11" max="16383" width="8.88888888888889" style="233"/>
  </cols>
  <sheetData>
    <row r="1" s="232" customFormat="1" ht="34.95" customHeight="1" spans="1:9">
      <c r="A1" s="178" t="s">
        <v>34</v>
      </c>
      <c r="B1" s="178"/>
      <c r="C1" s="178"/>
      <c r="D1" s="178"/>
      <c r="E1" s="178"/>
      <c r="F1" s="178"/>
      <c r="G1" s="178"/>
      <c r="H1" s="178"/>
      <c r="I1" s="178"/>
    </row>
    <row r="2" s="232" customFormat="1" ht="25.05" customHeight="1" spans="1:9">
      <c r="A2" s="179" t="s">
        <v>35</v>
      </c>
      <c r="B2" s="179"/>
      <c r="C2" s="179"/>
      <c r="D2" s="179"/>
      <c r="E2" s="179"/>
      <c r="F2" s="179"/>
      <c r="G2" s="179"/>
      <c r="H2" s="179"/>
      <c r="I2" s="179"/>
    </row>
    <row r="3" s="233" customFormat="1" ht="19.95" customHeight="1" spans="1:16384">
      <c r="A3" s="235" t="s">
        <v>36</v>
      </c>
      <c r="B3" s="235" t="str">
        <f>主封面!E20</f>
        <v>乙肝表面抗原（HBsAg）</v>
      </c>
      <c r="C3" s="235"/>
      <c r="D3" s="235"/>
      <c r="E3" s="235" t="s">
        <v>37</v>
      </c>
      <c r="F3" s="235"/>
      <c r="G3" s="235" t="str">
        <f>主封面!E28</f>
        <v>e601</v>
      </c>
      <c r="H3" s="235"/>
      <c r="I3" s="235"/>
      <c r="J3" s="254"/>
      <c r="XEN3"/>
      <c r="XFD3"/>
    </row>
    <row r="4" s="233" customFormat="1" ht="19.95" customHeight="1" spans="1:16384">
      <c r="A4" s="236" t="s">
        <v>38</v>
      </c>
      <c r="B4" s="237" t="s">
        <v>39</v>
      </c>
      <c r="C4" s="237"/>
      <c r="D4" s="237"/>
      <c r="E4" s="236" t="s">
        <v>40</v>
      </c>
      <c r="F4" s="236"/>
      <c r="G4" s="237" t="str">
        <f>主封面!E30</f>
        <v>MHZYY-JYK-SM-1016</v>
      </c>
      <c r="H4" s="237"/>
      <c r="I4" s="237"/>
      <c r="J4" s="233"/>
      <c r="XEN4"/>
      <c r="XFD4"/>
    </row>
    <row r="5" s="233" customFormat="1" ht="19.95" customHeight="1" spans="1:16384">
      <c r="A5" s="236" t="s">
        <v>41</v>
      </c>
      <c r="B5" s="237" t="s">
        <v>42</v>
      </c>
      <c r="C5" s="237"/>
      <c r="D5" s="237"/>
      <c r="E5" s="236"/>
      <c r="F5" s="236"/>
      <c r="G5" s="238"/>
      <c r="H5" s="238"/>
      <c r="I5" s="238"/>
      <c r="J5" s="233"/>
      <c r="XEN5"/>
      <c r="XFD5"/>
    </row>
    <row r="6" s="233" customFormat="1" ht="19.95" customHeight="1" spans="1:16384">
      <c r="A6" s="236" t="s">
        <v>43</v>
      </c>
      <c r="B6" s="239" t="s">
        <v>44</v>
      </c>
      <c r="C6" s="239"/>
      <c r="D6" s="239"/>
      <c r="E6" s="237" t="s">
        <v>45</v>
      </c>
      <c r="F6" s="237"/>
      <c r="G6" s="237">
        <v>812808</v>
      </c>
      <c r="H6" s="237"/>
      <c r="I6" s="237"/>
      <c r="J6" s="233"/>
      <c r="XEN6"/>
      <c r="XFD6"/>
    </row>
    <row r="7" s="233" customFormat="1" ht="19.95" customHeight="1" spans="1:16384">
      <c r="A7" s="236" t="s">
        <v>46</v>
      </c>
      <c r="B7" s="239" t="s">
        <v>47</v>
      </c>
      <c r="C7" s="239"/>
      <c r="D7" s="239"/>
      <c r="E7" s="237" t="s">
        <v>48</v>
      </c>
      <c r="F7" s="237"/>
      <c r="G7" s="237">
        <v>812808</v>
      </c>
      <c r="H7" s="237"/>
      <c r="I7" s="237"/>
      <c r="J7" s="233"/>
      <c r="XEN7"/>
      <c r="XFD7"/>
    </row>
    <row r="8" s="233" customFormat="1" ht="19.95" customHeight="1" spans="1:16384">
      <c r="A8" s="236" t="s">
        <v>49</v>
      </c>
      <c r="B8" s="240" t="s">
        <v>50</v>
      </c>
      <c r="C8" s="240"/>
      <c r="D8" s="240"/>
      <c r="E8" s="237" t="s">
        <v>51</v>
      </c>
      <c r="F8" s="237"/>
      <c r="G8" s="237">
        <v>202505006</v>
      </c>
      <c r="H8" s="237"/>
      <c r="I8" s="237"/>
      <c r="J8" s="233"/>
      <c r="XEN8"/>
      <c r="XFD8"/>
    </row>
    <row r="9" s="233" customFormat="1" ht="19.95" customHeight="1" spans="1:16384">
      <c r="A9" s="233" t="s">
        <v>52</v>
      </c>
      <c r="B9" s="237" t="str">
        <f>[1]主封面!E32</f>
        <v>金子铮</v>
      </c>
      <c r="C9" s="237"/>
      <c r="D9" s="237"/>
      <c r="E9" s="237" t="s">
        <v>53</v>
      </c>
      <c r="F9" s="237"/>
      <c r="G9" s="237" t="str">
        <f>[1]主封面!E34</f>
        <v>杨静</v>
      </c>
      <c r="H9" s="237"/>
      <c r="I9" s="237"/>
      <c r="J9" s="233"/>
      <c r="XEN9"/>
      <c r="XFD9"/>
    </row>
    <row r="10" s="233" customFormat="1" ht="19.95" customHeight="1" spans="1:16384">
      <c r="A10" s="241" t="s">
        <v>54</v>
      </c>
      <c r="B10" s="241" t="str">
        <f>主封面!E36</f>
        <v>2025年05月12日-2025年05月16日</v>
      </c>
      <c r="C10" s="241"/>
      <c r="D10" s="241"/>
      <c r="E10" s="241"/>
      <c r="F10" s="242"/>
      <c r="G10" s="242"/>
      <c r="H10" s="242"/>
      <c r="I10" s="242"/>
      <c r="J10" s="233"/>
      <c r="XEN10"/>
      <c r="XFD10"/>
    </row>
    <row r="11" s="233" customFormat="1" ht="19.95" customHeight="1" spans="16368:16384">
      <c r="XEN11"/>
      <c r="XFD11"/>
    </row>
    <row r="12" s="233" customFormat="1" ht="19.95" customHeight="1" spans="1:16384">
      <c r="A12" s="179" t="s">
        <v>55</v>
      </c>
      <c r="B12" s="179"/>
      <c r="C12" s="179"/>
      <c r="D12" s="179"/>
      <c r="E12" s="179"/>
      <c r="F12" s="179"/>
      <c r="G12" s="179"/>
      <c r="H12" s="179"/>
      <c r="I12" s="179"/>
      <c r="J12" s="233"/>
      <c r="XEN12"/>
      <c r="XFD12"/>
    </row>
    <row r="13" s="232" customFormat="1" ht="25.05" customHeight="1" spans="1:9">
      <c r="A13" s="237" t="s">
        <v>56</v>
      </c>
      <c r="B13" s="237"/>
      <c r="C13" s="237"/>
      <c r="D13" s="237"/>
      <c r="E13" s="237"/>
      <c r="F13" s="237"/>
      <c r="G13" s="237"/>
      <c r="H13" s="237"/>
      <c r="I13" s="237"/>
    </row>
    <row r="14" s="233" customFormat="1" ht="19.95" customHeight="1" spans="16384:16384">
      <c r="XFD14"/>
    </row>
    <row r="15" s="233" customFormat="1" ht="19.95" customHeight="1" spans="1:16384">
      <c r="A15" s="179" t="s">
        <v>57</v>
      </c>
      <c r="B15" s="179"/>
      <c r="C15" s="179"/>
      <c r="D15" s="179"/>
      <c r="E15" s="179"/>
      <c r="F15" s="179"/>
      <c r="G15" s="179"/>
      <c r="H15" s="179"/>
      <c r="I15" s="179"/>
      <c r="J15" s="233"/>
      <c r="XFD15"/>
    </row>
    <row r="16" s="233" customFormat="1" ht="25" customHeight="1" spans="1:16384">
      <c r="A16" s="243" t="s">
        <v>58</v>
      </c>
      <c r="B16" s="243" t="s">
        <v>59</v>
      </c>
      <c r="C16" s="243"/>
      <c r="D16" s="243"/>
      <c r="E16" s="243"/>
      <c r="F16" s="243" t="s">
        <v>60</v>
      </c>
      <c r="G16" s="243"/>
      <c r="H16" s="243" t="s">
        <v>61</v>
      </c>
      <c r="I16" s="243"/>
      <c r="J16" s="233"/>
      <c r="XFD16"/>
    </row>
    <row r="17" s="233" customFormat="1" ht="35" customHeight="1" spans="1:16384">
      <c r="A17" s="244" t="s">
        <v>62</v>
      </c>
      <c r="B17" s="245" t="s">
        <v>63</v>
      </c>
      <c r="C17" s="245"/>
      <c r="D17" s="245"/>
      <c r="E17" s="245"/>
      <c r="F17" s="245" t="str">
        <f>"低值"&amp;TEXT(精密度!D30,"0.00%")&amp;" 高值"&amp;TEXT(精密度!D31,"0.00%")</f>
        <v>低值7.24% 高值3.28%</v>
      </c>
      <c r="G17" s="245"/>
      <c r="H17" s="246" t="str">
        <f>[1]精密度!A34</f>
        <v>符合要求</v>
      </c>
      <c r="I17" s="246"/>
      <c r="J17" s="233"/>
      <c r="XFD17"/>
    </row>
    <row r="18" s="233" customFormat="1" ht="35" customHeight="1" spans="1:16384">
      <c r="A18" s="244"/>
      <c r="B18" s="245" t="s">
        <v>64</v>
      </c>
      <c r="C18" s="245"/>
      <c r="D18" s="245"/>
      <c r="E18" s="245"/>
      <c r="F18" s="245" t="str">
        <f>"低值"&amp;TEXT(精密度!G30,"0.00%")&amp;" 高值"&amp;TEXT(精密度!G31,"0.00%")</f>
        <v>低值6.72% 高值2.95%</v>
      </c>
      <c r="G18" s="245"/>
      <c r="H18" s="246"/>
      <c r="I18" s="246"/>
      <c r="J18" s="233"/>
      <c r="XFD18"/>
    </row>
    <row r="19" s="232" customFormat="1" ht="35" customHeight="1" spans="1:9">
      <c r="A19" s="245" t="s">
        <v>65</v>
      </c>
      <c r="B19" s="245" t="s">
        <v>66</v>
      </c>
      <c r="C19" s="245"/>
      <c r="D19" s="245"/>
      <c r="E19" s="245"/>
      <c r="F19" s="247">
        <f>方法符合率!C40</f>
        <v>1</v>
      </c>
      <c r="G19" s="247"/>
      <c r="H19" s="248" t="str">
        <f>'[1]正确度-偏倚评估'!A32</f>
        <v>符合要求</v>
      </c>
      <c r="I19" s="248"/>
    </row>
    <row r="20" s="233" customFormat="1" ht="35" customHeight="1" spans="1:16384">
      <c r="A20" s="245"/>
      <c r="B20" s="245" t="s">
        <v>67</v>
      </c>
      <c r="C20" s="245"/>
      <c r="D20" s="245"/>
      <c r="E20" s="245"/>
      <c r="F20" s="247">
        <f>方法符合率!G40</f>
        <v>1</v>
      </c>
      <c r="G20" s="247"/>
      <c r="H20" s="248"/>
      <c r="I20" s="248"/>
      <c r="XFD20"/>
    </row>
    <row r="21" s="233" customFormat="1" ht="35" customHeight="1" spans="1:16384">
      <c r="A21" s="249" t="s">
        <v>68</v>
      </c>
      <c r="B21" s="249" t="s">
        <v>69</v>
      </c>
      <c r="C21" s="249"/>
      <c r="D21" s="249"/>
      <c r="E21" s="249"/>
      <c r="F21" s="249" t="s">
        <v>70</v>
      </c>
      <c r="G21" s="249"/>
      <c r="H21" s="250" t="s">
        <v>71</v>
      </c>
      <c r="I21" s="250"/>
      <c r="J21" s="233"/>
      <c r="XFD21"/>
    </row>
    <row r="22" customFormat="1" ht="19.95" customHeight="1" spans="1:9">
      <c r="A22" s="245"/>
      <c r="B22" s="251"/>
      <c r="C22" s="251"/>
      <c r="D22" s="251"/>
      <c r="E22" s="251"/>
      <c r="F22" s="233"/>
      <c r="G22" s="252"/>
      <c r="H22" s="248"/>
      <c r="I22" s="248"/>
    </row>
    <row r="23" s="234" customFormat="1" ht="25.05" customHeight="1" spans="1:4">
      <c r="A23" s="179" t="s">
        <v>72</v>
      </c>
      <c r="B23" s="179"/>
      <c r="C23" s="179"/>
      <c r="D23" s="179"/>
    </row>
    <row r="24" s="233" customFormat="1" ht="19.95" customHeight="1" spans="1:16384">
      <c r="A24" s="253" t="s">
        <v>73</v>
      </c>
      <c r="B24" s="253"/>
      <c r="C24" s="253"/>
      <c r="D24" s="253"/>
      <c r="E24" s="253"/>
      <c r="F24" s="253"/>
      <c r="G24" s="253"/>
      <c r="H24" s="253"/>
      <c r="I24" s="253"/>
      <c r="J24" s="233"/>
      <c r="XFD24"/>
    </row>
    <row r="25" s="233" customFormat="1" ht="80" customHeight="1" spans="1:16384">
      <c r="A25" s="253"/>
      <c r="B25" s="253"/>
      <c r="C25" s="253"/>
      <c r="D25" s="253"/>
      <c r="E25" s="253"/>
      <c r="F25" s="253"/>
      <c r="G25" s="253"/>
      <c r="H25" s="253"/>
      <c r="I25" s="253"/>
      <c r="J25" s="233"/>
      <c r="XFD25"/>
    </row>
    <row r="26" s="233" customFormat="1" ht="16" customHeight="1" spans="16384:16384">
      <c r="XFD26"/>
    </row>
    <row r="27" s="233" customFormat="1" ht="22" customHeight="1" spans="16384:16384">
      <c r="XFD27"/>
    </row>
    <row r="28" s="233" customFormat="1" spans="16384:16384">
      <c r="XFD28"/>
    </row>
    <row r="29" s="233" customFormat="1" ht="68" customHeight="1" spans="16384:16384">
      <c r="XFD29"/>
    </row>
  </sheetData>
  <mergeCells count="47">
    <mergeCell ref="A1:I1"/>
    <mergeCell ref="A2:I2"/>
    <mergeCell ref="B3:D3"/>
    <mergeCell ref="E3:F3"/>
    <mergeCell ref="G3:I3"/>
    <mergeCell ref="B4:D4"/>
    <mergeCell ref="E4:F4"/>
    <mergeCell ref="G4:I4"/>
    <mergeCell ref="B5:D5"/>
    <mergeCell ref="E5:F5"/>
    <mergeCell ref="G5:I5"/>
    <mergeCell ref="B6:D6"/>
    <mergeCell ref="E6:F6"/>
    <mergeCell ref="G6:I6"/>
    <mergeCell ref="B7:D7"/>
    <mergeCell ref="E7:F7"/>
    <mergeCell ref="G7:I7"/>
    <mergeCell ref="B8:D8"/>
    <mergeCell ref="E8:F8"/>
    <mergeCell ref="G8:I8"/>
    <mergeCell ref="B9:D9"/>
    <mergeCell ref="E9:F9"/>
    <mergeCell ref="G9:I9"/>
    <mergeCell ref="B10:E10"/>
    <mergeCell ref="A12:I12"/>
    <mergeCell ref="A13:I13"/>
    <mergeCell ref="A15:I15"/>
    <mergeCell ref="B16:E16"/>
    <mergeCell ref="F16:G16"/>
    <mergeCell ref="H16:I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H21:I21"/>
    <mergeCell ref="A23:D23"/>
    <mergeCell ref="A17:A18"/>
    <mergeCell ref="A19:A20"/>
    <mergeCell ref="H17:I18"/>
    <mergeCell ref="A24:I25"/>
    <mergeCell ref="H19:I20"/>
  </mergeCells>
  <printOptions horizontalCentered="1"/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5"/>
  <sheetViews>
    <sheetView view="pageBreakPreview" zoomScaleNormal="100" topLeftCell="A37" workbookViewId="0">
      <selection activeCell="H47" sqref="H47"/>
    </sheetView>
  </sheetViews>
  <sheetFormatPr defaultColWidth="8.88888888888889" defaultRowHeight="14.4"/>
  <cols>
    <col min="1" max="1" width="5.77777777777778" style="32" customWidth="1"/>
    <col min="2" max="2" width="12.4444444444444" style="32" customWidth="1"/>
    <col min="3" max="3" width="8.44444444444444" style="32" customWidth="1"/>
    <col min="4" max="4" width="9.77777777777778" style="32" customWidth="1"/>
    <col min="5" max="5" width="9.44444444444444" style="32"/>
    <col min="6" max="6" width="0.888888888888889" style="32" customWidth="1"/>
    <col min="7" max="7" width="5.33333333333333" style="32" customWidth="1"/>
    <col min="8" max="8" width="9.55555555555556" style="32" customWidth="1"/>
    <col min="9" max="9" width="5.11111111111111" style="32" customWidth="1"/>
    <col min="10" max="10" width="6.44444444444444" style="32" customWidth="1"/>
    <col min="11" max="11" width="12.5555555555556" style="32" customWidth="1"/>
    <col min="12" max="12" width="12" style="32" customWidth="1"/>
    <col min="13" max="13" width="8.88888888888889" style="32"/>
    <col min="14" max="16" width="12.8888888888889" style="32"/>
    <col min="17" max="16384" width="8.88888888888889" style="32"/>
  </cols>
  <sheetData>
    <row r="1" s="32" customFormat="1" ht="25.8" spans="1:12">
      <c r="A1" s="178" t="s">
        <v>74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s="32" customFormat="1" ht="25.8" spans="1:12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</row>
    <row r="3" s="32" customFormat="1" ht="67" customHeight="1" spans="1:12">
      <c r="A3" s="179" t="s">
        <v>75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</row>
    <row r="4" s="32" customFormat="1" spans="1:12">
      <c r="A4" s="180" t="s">
        <v>76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</row>
    <row r="5" s="32" customFormat="1" spans="1:12">
      <c r="A5" s="180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</row>
    <row r="6" s="32" customFormat="1" spans="1:12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</row>
    <row r="7" s="32" customFormat="1" ht="4" customHeight="1" spans="1:12">
      <c r="A7" s="180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</row>
    <row r="9" s="32" customFormat="1" ht="28" customHeight="1" spans="1:12">
      <c r="A9" s="105" t="s">
        <v>77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</row>
    <row r="10" s="32" customFormat="1" ht="78" customHeight="1" spans="1:12">
      <c r="A10" s="181" t="s">
        <v>78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</row>
    <row r="11" s="32" customFormat="1" ht="15.6" spans="1:12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</row>
    <row r="12" s="32" customFormat="1" ht="28" customHeight="1" spans="1:12">
      <c r="A12" s="105" t="s">
        <v>79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="32" customFormat="1" ht="15.6" spans="1:12">
      <c r="A13" s="85" t="s">
        <v>36</v>
      </c>
      <c r="B13" s="85"/>
      <c r="C13" s="85" t="str">
        <f>结果汇总!B3</f>
        <v>乙肝表面抗原（HBsAg）</v>
      </c>
      <c r="D13" s="85"/>
      <c r="E13" s="85"/>
      <c r="F13" s="85"/>
      <c r="G13" s="182" t="s">
        <v>37</v>
      </c>
      <c r="H13" s="182"/>
      <c r="I13" s="85" t="str">
        <f>结果汇总!G3</f>
        <v>e601</v>
      </c>
      <c r="J13" s="85"/>
      <c r="K13" s="85"/>
      <c r="L13" s="85"/>
    </row>
    <row r="14" s="32" customFormat="1" ht="15.6" spans="1:12">
      <c r="A14" s="90" t="s">
        <v>38</v>
      </c>
      <c r="B14" s="90"/>
      <c r="C14" s="90" t="str">
        <f>IF([1]结果汇总!$B$4="","",[1]结果汇总!$B$4)</f>
        <v>化学发光法</v>
      </c>
      <c r="D14" s="90"/>
      <c r="E14" s="90"/>
      <c r="F14" s="90"/>
      <c r="G14" s="183" t="s">
        <v>40</v>
      </c>
      <c r="H14" s="183"/>
      <c r="I14" s="90" t="str">
        <f>[1]主封面!E30</f>
        <v>MHZYY-JYK-SM-1006</v>
      </c>
      <c r="J14" s="90"/>
      <c r="K14" s="90"/>
      <c r="L14" s="90"/>
    </row>
    <row r="15" s="32" customFormat="1" ht="15.6" spans="1:12">
      <c r="A15" s="184" t="s">
        <v>80</v>
      </c>
      <c r="B15" s="184"/>
      <c r="C15" s="184" t="s">
        <v>81</v>
      </c>
      <c r="D15" s="184"/>
      <c r="E15" s="184"/>
      <c r="F15" s="184"/>
      <c r="G15" s="90" t="s">
        <v>82</v>
      </c>
      <c r="H15" s="90"/>
      <c r="I15" s="90" t="str">
        <f>结果汇总!B5</f>
        <v>COI</v>
      </c>
      <c r="J15" s="90"/>
      <c r="K15" s="90"/>
      <c r="L15" s="90"/>
    </row>
    <row r="16" s="32" customFormat="1" ht="15.6" spans="1:12">
      <c r="A16" s="183" t="s">
        <v>83</v>
      </c>
      <c r="B16" s="183"/>
      <c r="C16" s="90" t="str">
        <f>结果汇总!B8</f>
        <v>康彻斯坦</v>
      </c>
      <c r="D16" s="90"/>
      <c r="E16" s="90"/>
      <c r="F16" s="90"/>
      <c r="G16" s="185" t="s">
        <v>51</v>
      </c>
      <c r="H16" s="185"/>
      <c r="I16" s="217">
        <f>结果汇总!G8</f>
        <v>202505006</v>
      </c>
      <c r="J16" s="217"/>
      <c r="K16" s="217"/>
      <c r="L16" s="217"/>
    </row>
    <row r="17" s="32" customFormat="1" ht="15.6" spans="1:12">
      <c r="A17" s="90" t="s">
        <v>43</v>
      </c>
      <c r="B17" s="90"/>
      <c r="C17" s="90" t="str">
        <f>结果汇总!B6</f>
        <v>罗氏乙肝表面抗原测定试剂盒</v>
      </c>
      <c r="D17" s="90"/>
      <c r="E17" s="90"/>
      <c r="F17" s="90"/>
      <c r="G17" s="183" t="s">
        <v>45</v>
      </c>
      <c r="H17" s="183"/>
      <c r="I17" s="217">
        <f>结果汇总!G6</f>
        <v>812808</v>
      </c>
      <c r="J17" s="217"/>
      <c r="K17" s="217"/>
      <c r="L17" s="217"/>
    </row>
    <row r="18" s="32" customFormat="1" ht="15.6" spans="1:12">
      <c r="A18" s="90" t="s">
        <v>46</v>
      </c>
      <c r="B18" s="90"/>
      <c r="C18" s="90" t="str">
        <f>结果汇总!B7</f>
        <v>罗氏试剂盒自带校准品</v>
      </c>
      <c r="D18" s="90"/>
      <c r="E18" s="90"/>
      <c r="F18" s="90"/>
      <c r="G18" s="183" t="s">
        <v>48</v>
      </c>
      <c r="H18" s="183"/>
      <c r="I18" s="217">
        <f>结果汇总!G7</f>
        <v>812808</v>
      </c>
      <c r="J18" s="217"/>
      <c r="K18" s="217"/>
      <c r="L18" s="217"/>
    </row>
    <row r="19" s="32" customFormat="1" ht="15.6" spans="1:12">
      <c r="A19" s="90" t="s">
        <v>84</v>
      </c>
      <c r="B19" s="90"/>
      <c r="C19" s="186" t="s">
        <v>85</v>
      </c>
      <c r="D19" s="186"/>
      <c r="E19" s="186"/>
      <c r="F19" s="186"/>
      <c r="G19" s="183" t="s">
        <v>52</v>
      </c>
      <c r="H19" s="183"/>
      <c r="I19" s="90" t="str">
        <f>[1]主封面!E32</f>
        <v>金子铮</v>
      </c>
      <c r="J19" s="90"/>
      <c r="K19" s="90"/>
      <c r="L19" s="90"/>
    </row>
    <row r="20" s="32" customFormat="1" ht="15.6" spans="1:12">
      <c r="A20" s="112" t="s">
        <v>86</v>
      </c>
      <c r="B20" s="32"/>
      <c r="C20" s="187" t="s">
        <v>87</v>
      </c>
      <c r="D20" s="188">
        <v>0.075</v>
      </c>
      <c r="E20" s="32"/>
      <c r="F20" s="32"/>
      <c r="G20" s="183" t="s">
        <v>53</v>
      </c>
      <c r="H20" s="183"/>
      <c r="I20" s="90" t="str">
        <f>[1]主封面!E34</f>
        <v>杨静</v>
      </c>
      <c r="J20" s="90"/>
      <c r="K20" s="90"/>
      <c r="L20" s="90"/>
    </row>
    <row r="21" s="32" customFormat="1" ht="15.6" spans="1:12">
      <c r="A21" s="189" t="s">
        <v>88</v>
      </c>
      <c r="B21" s="190"/>
      <c r="C21" s="191" t="s">
        <v>87</v>
      </c>
      <c r="D21" s="192">
        <v>0.1</v>
      </c>
      <c r="E21" s="190"/>
      <c r="F21" s="190"/>
      <c r="G21" s="98" t="s">
        <v>89</v>
      </c>
      <c r="H21" s="98"/>
      <c r="I21" s="99">
        <v>45793</v>
      </c>
      <c r="J21" s="98"/>
      <c r="K21" s="98"/>
      <c r="L21" s="98"/>
    </row>
    <row r="24" s="32" customFormat="1" ht="28" customHeight="1" spans="1:12">
      <c r="A24" s="105" t="s">
        <v>90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</row>
    <row r="25" s="32" customFormat="1" ht="15.6" spans="1:2">
      <c r="A25" s="102" t="s">
        <v>91</v>
      </c>
      <c r="B25" s="102"/>
    </row>
    <row r="27" s="32" customFormat="1" spans="1:12">
      <c r="A27" s="105" t="s">
        <v>92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</row>
    <row r="28" s="32" customFormat="1" spans="1:12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</row>
    <row r="29" s="32" customFormat="1" ht="64" customHeight="1" spans="1:12">
      <c r="A29" s="194" t="s">
        <v>80</v>
      </c>
      <c r="B29" s="194"/>
      <c r="C29" s="195" t="s">
        <v>93</v>
      </c>
      <c r="D29" s="194" t="s">
        <v>94</v>
      </c>
      <c r="E29" s="194" t="s">
        <v>95</v>
      </c>
      <c r="F29" s="194"/>
      <c r="G29" s="196" t="s">
        <v>96</v>
      </c>
      <c r="H29" s="196"/>
      <c r="I29" s="196" t="s">
        <v>97</v>
      </c>
      <c r="J29" s="196"/>
      <c r="K29" s="194" t="s">
        <v>98</v>
      </c>
      <c r="L29" s="194" t="s">
        <v>99</v>
      </c>
    </row>
    <row r="30" s="32" customFormat="1" ht="22" customHeight="1" spans="1:12">
      <c r="A30" s="197" t="s">
        <v>100</v>
      </c>
      <c r="B30" s="197"/>
      <c r="C30" s="198">
        <f>E58</f>
        <v>0.480133333333333</v>
      </c>
      <c r="D30" s="199">
        <f>E59</f>
        <v>0.072380848264326</v>
      </c>
      <c r="E30" s="199">
        <f>C57/E58</f>
        <v>0.0320771285334826</v>
      </c>
      <c r="F30" s="199"/>
      <c r="G30" s="199">
        <f>E61</f>
        <v>0.0672428457552362</v>
      </c>
      <c r="H30" s="199"/>
      <c r="I30" s="199" t="str">
        <f>IF(AND(D30&lt;=D20,E30&lt;=D21),"是","否")</f>
        <v>是</v>
      </c>
      <c r="J30" s="199"/>
      <c r="K30" s="197" t="str">
        <f>IF(E59&lt;L65,"符合要求","不符合要求")</f>
        <v>符合要求</v>
      </c>
      <c r="L30" s="197" t="str">
        <f>IF(E61&lt;L69,"符合要求","不符合要求")</f>
        <v>符合要求</v>
      </c>
    </row>
    <row r="31" s="32" customFormat="1" ht="25" customHeight="1" spans="1:12">
      <c r="A31" s="195" t="s">
        <v>101</v>
      </c>
      <c r="B31" s="195"/>
      <c r="C31" s="200">
        <f>K58</f>
        <v>4.13066666666667</v>
      </c>
      <c r="D31" s="201">
        <f>K59</f>
        <v>0.0327555191373425</v>
      </c>
      <c r="E31" s="201">
        <f>C92/K58</f>
        <v>0.0125067680865457</v>
      </c>
      <c r="F31" s="201"/>
      <c r="G31" s="201">
        <f>K61</f>
        <v>0.0295245988503685</v>
      </c>
      <c r="H31" s="201"/>
      <c r="I31" s="201" t="str">
        <f>IF(AND(D31&lt;=D20,E31&lt;=D21),"是","否")</f>
        <v>是</v>
      </c>
      <c r="J31" s="201"/>
      <c r="K31" s="195" t="str">
        <f>IF(K59&lt;L96,"符合要求","不符合要求")</f>
        <v>符合要求</v>
      </c>
      <c r="L31" s="195" t="str">
        <f>IF(K61&lt;L99,"符合要求","不符合要求")</f>
        <v>符合要求</v>
      </c>
    </row>
    <row r="32" s="32" customFormat="1" spans="1:12">
      <c r="A32" s="102" t="s">
        <v>102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</row>
    <row r="33" s="32" customFormat="1" spans="1:1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</row>
    <row r="34" s="32" customFormat="1" ht="30" customHeight="1" spans="1:3">
      <c r="A34" s="202" t="s">
        <v>71</v>
      </c>
      <c r="B34" s="202"/>
      <c r="C34" s="202"/>
    </row>
    <row r="35" s="32" customFormat="1" ht="15.6" spans="1:3">
      <c r="A35" s="202"/>
      <c r="B35" s="202"/>
      <c r="C35" s="202"/>
    </row>
    <row r="36" s="32" customFormat="1" ht="30" customHeight="1"/>
    <row r="37" s="177" customFormat="1" ht="30" customHeight="1" spans="1:12">
      <c r="A37" s="203" t="s">
        <v>103</v>
      </c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</row>
    <row r="38" s="177" customFormat="1" ht="25" customHeight="1" spans="1:12">
      <c r="A38" s="116"/>
      <c r="B38" s="115" t="s">
        <v>104</v>
      </c>
      <c r="C38" s="116" t="str">
        <f>I13</f>
        <v>e601</v>
      </c>
      <c r="D38" s="116"/>
      <c r="E38" s="116"/>
      <c r="F38" s="118" t="s">
        <v>105</v>
      </c>
      <c r="G38" s="119">
        <v>2</v>
      </c>
      <c r="H38" s="26" t="s">
        <v>106</v>
      </c>
      <c r="I38" s="26"/>
      <c r="J38" s="26"/>
      <c r="K38" s="26"/>
      <c r="L38" s="26"/>
    </row>
    <row r="39" s="32" customFormat="1" ht="25" customHeight="1" spans="1:12">
      <c r="A39" s="116"/>
      <c r="B39" s="118" t="s">
        <v>107</v>
      </c>
      <c r="C39" s="116" t="str">
        <f>C13</f>
        <v>乙肝表面抗原（HBsAg）</v>
      </c>
      <c r="D39" s="116"/>
      <c r="E39" s="116"/>
      <c r="F39" s="118" t="s">
        <v>82</v>
      </c>
      <c r="G39" s="119" t="str">
        <f>I15</f>
        <v>COI</v>
      </c>
      <c r="H39" s="118" t="s">
        <v>108</v>
      </c>
      <c r="I39" s="118" t="s">
        <v>109</v>
      </c>
      <c r="J39" s="218">
        <f>D20</f>
        <v>0.075</v>
      </c>
      <c r="K39" s="118" t="s">
        <v>110</v>
      </c>
      <c r="L39" s="209">
        <f>E58*J39</f>
        <v>0.03601</v>
      </c>
    </row>
    <row r="40" s="32" customFormat="1" ht="25" customHeight="1" spans="1:12">
      <c r="A40" s="116"/>
      <c r="B40" s="118" t="s">
        <v>111</v>
      </c>
      <c r="C40" s="205" t="s">
        <v>49</v>
      </c>
      <c r="D40" s="31"/>
      <c r="E40" s="31"/>
      <c r="F40" s="31"/>
      <c r="G40" s="31"/>
      <c r="H40" s="118" t="s">
        <v>112</v>
      </c>
      <c r="I40" s="118" t="s">
        <v>109</v>
      </c>
      <c r="J40" s="218">
        <f>D21</f>
        <v>0.1</v>
      </c>
      <c r="K40" s="118" t="s">
        <v>110</v>
      </c>
      <c r="L40" s="209">
        <f>E58*J40</f>
        <v>0.0480133333333333</v>
      </c>
    </row>
    <row r="41" s="177" customFormat="1" hidden="1" spans="1:16">
      <c r="A41" s="116"/>
      <c r="B41" s="118" t="s">
        <v>113</v>
      </c>
      <c r="C41" s="119">
        <v>5</v>
      </c>
      <c r="D41" s="116"/>
      <c r="E41" s="118" t="s">
        <v>114</v>
      </c>
      <c r="F41" s="31"/>
      <c r="G41" s="119">
        <v>3</v>
      </c>
      <c r="H41" s="31"/>
      <c r="I41" s="31"/>
      <c r="J41" s="31"/>
      <c r="K41" s="31"/>
      <c r="L41" s="31"/>
      <c r="M41" s="32"/>
      <c r="N41" s="32"/>
      <c r="O41" s="32"/>
      <c r="P41" s="32"/>
    </row>
    <row r="42" s="32" customFormat="1" ht="25" customHeight="1" spans="1:11">
      <c r="A42" s="116"/>
      <c r="B42" s="118"/>
      <c r="C42" s="206" t="s">
        <v>115</v>
      </c>
      <c r="D42" s="206"/>
      <c r="E42" s="206"/>
      <c r="F42" s="31"/>
      <c r="G42" s="119"/>
      <c r="H42" s="207" t="s">
        <v>116</v>
      </c>
      <c r="I42" s="207"/>
      <c r="J42" s="207"/>
      <c r="K42" s="207"/>
    </row>
    <row r="43" s="32" customFormat="1" ht="25" customHeight="1" spans="1:11">
      <c r="A43" s="116"/>
      <c r="B43" s="26" t="s">
        <v>117</v>
      </c>
      <c r="C43" s="26" t="s">
        <v>118</v>
      </c>
      <c r="D43" s="26" t="s">
        <v>119</v>
      </c>
      <c r="E43" s="26" t="s">
        <v>120</v>
      </c>
      <c r="F43" s="116"/>
      <c r="G43" s="116"/>
      <c r="H43" s="26" t="s">
        <v>118</v>
      </c>
      <c r="I43" s="206" t="s">
        <v>119</v>
      </c>
      <c r="J43" s="206"/>
      <c r="K43" s="26" t="s">
        <v>120</v>
      </c>
    </row>
    <row r="44" s="32" customFormat="1" ht="25" customHeight="1" spans="1:16">
      <c r="A44" s="19" t="s">
        <v>121</v>
      </c>
      <c r="B44" s="119" t="s">
        <v>122</v>
      </c>
      <c r="C44" s="208">
        <v>0.464</v>
      </c>
      <c r="D44" s="208">
        <v>0.466</v>
      </c>
      <c r="E44" s="208">
        <v>0.535</v>
      </c>
      <c r="F44" s="116"/>
      <c r="G44" s="116"/>
      <c r="H44" s="209">
        <v>3.97</v>
      </c>
      <c r="I44" s="219">
        <v>4.02</v>
      </c>
      <c r="J44" s="219"/>
      <c r="K44" s="209">
        <v>4.18</v>
      </c>
      <c r="L44" s="32"/>
      <c r="M44" s="32">
        <f t="shared" ref="M44:M48" si="0">IF(COUNT(C44:E44)=0,"",COUNT(C44:E44))</f>
        <v>3</v>
      </c>
      <c r="N44" s="32">
        <f t="shared" ref="N44:N48" si="1">IF(M44&lt;&gt;"",AVERAGE(C44:E44),"")</f>
        <v>0.488333333333333</v>
      </c>
      <c r="O44" s="32">
        <f t="shared" ref="O44:O48" si="2">IF(N44&lt;&gt;"",STDEV(C44:E44),"")</f>
        <v>0.0404268887416944</v>
      </c>
      <c r="P44" s="32">
        <f t="shared" ref="P44:P48" si="3">IF(O44&lt;&gt;"",O44^2,"")</f>
        <v>0.00163433333333333</v>
      </c>
    </row>
    <row r="45" s="32" customFormat="1" ht="25" customHeight="1" spans="1:16">
      <c r="A45" s="19" t="s">
        <v>123</v>
      </c>
      <c r="B45" s="119" t="s">
        <v>124</v>
      </c>
      <c r="C45" s="208">
        <v>0.466</v>
      </c>
      <c r="D45" s="208">
        <v>0.446</v>
      </c>
      <c r="E45" s="208">
        <v>0.476</v>
      </c>
      <c r="F45" s="116"/>
      <c r="G45" s="116"/>
      <c r="H45" s="209">
        <v>4.4</v>
      </c>
      <c r="I45" s="219">
        <v>4.02</v>
      </c>
      <c r="J45" s="219"/>
      <c r="K45" s="209">
        <v>4.09</v>
      </c>
      <c r="L45" s="32"/>
      <c r="M45" s="32">
        <f t="shared" si="0"/>
        <v>3</v>
      </c>
      <c r="N45" s="32">
        <f t="shared" si="1"/>
        <v>0.462666666666667</v>
      </c>
      <c r="O45" s="32">
        <f t="shared" si="2"/>
        <v>0.0152752523165195</v>
      </c>
      <c r="P45" s="32">
        <f t="shared" si="3"/>
        <v>0.000233333333333333</v>
      </c>
    </row>
    <row r="46" s="32" customFormat="1" ht="25" customHeight="1" spans="1:16">
      <c r="A46" s="19" t="s">
        <v>125</v>
      </c>
      <c r="B46" s="119" t="s">
        <v>126</v>
      </c>
      <c r="C46" s="208">
        <v>0.53</v>
      </c>
      <c r="D46" s="208">
        <v>0.468</v>
      </c>
      <c r="E46" s="208">
        <v>0.423</v>
      </c>
      <c r="F46" s="116"/>
      <c r="G46" s="116"/>
      <c r="H46" s="209">
        <v>4.09</v>
      </c>
      <c r="I46" s="219">
        <v>4.12</v>
      </c>
      <c r="J46" s="219"/>
      <c r="K46" s="209">
        <v>4.08</v>
      </c>
      <c r="L46" s="32"/>
      <c r="M46" s="32">
        <f t="shared" si="0"/>
        <v>3</v>
      </c>
      <c r="N46" s="32">
        <f t="shared" si="1"/>
        <v>0.473666666666667</v>
      </c>
      <c r="O46" s="32">
        <f t="shared" si="2"/>
        <v>0.0537246064046386</v>
      </c>
      <c r="P46" s="32">
        <f t="shared" si="3"/>
        <v>0.00288633333333333</v>
      </c>
    </row>
    <row r="47" s="32" customFormat="1" ht="25" customHeight="1" spans="1:16">
      <c r="A47" s="19" t="s">
        <v>127</v>
      </c>
      <c r="B47" s="119" t="s">
        <v>128</v>
      </c>
      <c r="C47" s="208">
        <v>0.434</v>
      </c>
      <c r="D47" s="208">
        <v>0.494</v>
      </c>
      <c r="E47" s="208">
        <v>0.493</v>
      </c>
      <c r="F47" s="116"/>
      <c r="G47" s="116"/>
      <c r="H47" s="209">
        <v>4.11</v>
      </c>
      <c r="I47" s="219">
        <v>4.16</v>
      </c>
      <c r="J47" s="219"/>
      <c r="K47" s="209">
        <v>4.2</v>
      </c>
      <c r="L47" s="32"/>
      <c r="M47" s="32">
        <f t="shared" si="0"/>
        <v>3</v>
      </c>
      <c r="N47" s="32">
        <f t="shared" si="1"/>
        <v>0.473666666666667</v>
      </c>
      <c r="O47" s="32">
        <f t="shared" si="2"/>
        <v>0.0343559795862865</v>
      </c>
      <c r="P47" s="32">
        <f t="shared" si="3"/>
        <v>0.00118033333333333</v>
      </c>
    </row>
    <row r="48" s="32" customFormat="1" ht="25" customHeight="1" spans="1:16">
      <c r="A48" s="19" t="s">
        <v>129</v>
      </c>
      <c r="B48" s="119" t="s">
        <v>130</v>
      </c>
      <c r="C48" s="208">
        <v>0.514</v>
      </c>
      <c r="D48" s="208">
        <v>0.495</v>
      </c>
      <c r="E48" s="208">
        <v>0.498</v>
      </c>
      <c r="F48" s="116"/>
      <c r="G48" s="116"/>
      <c r="H48" s="209">
        <v>4.36</v>
      </c>
      <c r="I48" s="219">
        <v>4.18</v>
      </c>
      <c r="J48" s="219"/>
      <c r="K48" s="209">
        <v>3.98</v>
      </c>
      <c r="L48" s="32"/>
      <c r="M48" s="32">
        <f t="shared" si="0"/>
        <v>3</v>
      </c>
      <c r="N48" s="32">
        <f t="shared" si="1"/>
        <v>0.502333333333333</v>
      </c>
      <c r="O48" s="32">
        <f t="shared" si="2"/>
        <v>0.0102143689640297</v>
      </c>
      <c r="P48" s="32">
        <f t="shared" si="3"/>
        <v>0.000104333333333334</v>
      </c>
    </row>
    <row r="49" s="32" customFormat="1" ht="25" hidden="1" customHeight="1" spans="1:12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</row>
    <row r="50" s="32" customFormat="1" ht="25" hidden="1" customHeight="1" spans="1:12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</row>
    <row r="51" s="32" customFormat="1" ht="25" hidden="1" customHeight="1" spans="1:12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</row>
    <row r="52" s="32" customFormat="1" ht="25" hidden="1" customHeight="1" spans="1:1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</row>
    <row r="53" s="32" customFormat="1" ht="25" hidden="1" customHeight="1" spans="1:12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</row>
    <row r="54" s="32" customFormat="1" ht="25" hidden="1" customHeight="1" spans="1:12">
      <c r="A54" s="116"/>
      <c r="B54" s="116"/>
      <c r="C54" s="116">
        <f t="shared" ref="C54:G54" si="4">IF(COUNT(C44:C53)=0,"",COUNT(C44:C53))</f>
        <v>5</v>
      </c>
      <c r="D54" s="116">
        <f t="shared" si="4"/>
        <v>5</v>
      </c>
      <c r="E54" s="116">
        <f t="shared" si="4"/>
        <v>5</v>
      </c>
      <c r="F54" s="116" t="str">
        <f t="shared" si="4"/>
        <v/>
      </c>
      <c r="G54" s="116" t="str">
        <f t="shared" si="4"/>
        <v/>
      </c>
      <c r="H54" s="116" t="str">
        <f t="shared" ref="H54:L54" si="5">IF(COUNT(H49:H53)=0,"",COUNT(H49:H53))</f>
        <v/>
      </c>
      <c r="I54" s="116" t="str">
        <f t="shared" si="5"/>
        <v/>
      </c>
      <c r="J54" s="116" t="str">
        <f t="shared" si="5"/>
        <v/>
      </c>
      <c r="K54" s="116" t="str">
        <f t="shared" si="5"/>
        <v/>
      </c>
      <c r="L54" s="116" t="str">
        <f t="shared" si="5"/>
        <v/>
      </c>
    </row>
    <row r="55" s="32" customFormat="1" ht="25" hidden="1" customHeight="1" spans="1:16">
      <c r="A55" s="116"/>
      <c r="B55" s="118" t="s">
        <v>131</v>
      </c>
      <c r="C55" s="119">
        <f>C41</f>
        <v>5</v>
      </c>
      <c r="D55" s="116"/>
      <c r="E55" s="116"/>
      <c r="F55" s="116"/>
      <c r="G55" s="118" t="s">
        <v>132</v>
      </c>
      <c r="H55" s="119">
        <f>G41</f>
        <v>3</v>
      </c>
      <c r="I55" s="116"/>
      <c r="J55" s="116"/>
      <c r="K55" s="32"/>
      <c r="L55" s="32"/>
      <c r="M55" s="32"/>
      <c r="N55" s="32"/>
      <c r="O55" s="32">
        <f>(H55-1)/C55</f>
        <v>0.4</v>
      </c>
      <c r="P55" s="32">
        <f>O55*H56*H56</f>
        <v>5.83447921777778e-7</v>
      </c>
    </row>
    <row r="56" s="32" customFormat="1" ht="25" hidden="1" customHeight="1" spans="1:15">
      <c r="A56" s="116"/>
      <c r="B56" s="118" t="s">
        <v>133</v>
      </c>
      <c r="C56" s="208">
        <f>C57^2</f>
        <v>0.0002372</v>
      </c>
      <c r="D56" s="116"/>
      <c r="E56" s="116"/>
      <c r="F56" s="116"/>
      <c r="G56" s="118" t="s">
        <v>134</v>
      </c>
      <c r="H56" s="208">
        <f>AVERAGE(P44:P53)</f>
        <v>0.00120773333333333</v>
      </c>
      <c r="I56" s="116"/>
      <c r="J56" s="116"/>
      <c r="K56" s="118" t="s">
        <v>135</v>
      </c>
      <c r="L56" s="208">
        <f>((H55-1)/H55)*H56+C56</f>
        <v>0.00104235555555556</v>
      </c>
      <c r="O56" s="32">
        <f>H56*(H55-1)</f>
        <v>0.00241546666666667</v>
      </c>
    </row>
    <row r="57" s="32" customFormat="1" ht="25" hidden="1" customHeight="1" spans="1:16">
      <c r="A57" s="116"/>
      <c r="B57" s="118" t="s">
        <v>136</v>
      </c>
      <c r="C57" s="208">
        <f>STDEV(N44:N48)</f>
        <v>0.0154012986465428</v>
      </c>
      <c r="D57" s="116"/>
      <c r="E57" s="116"/>
      <c r="F57" s="116"/>
      <c r="G57" s="118" t="s">
        <v>137</v>
      </c>
      <c r="H57" s="208">
        <f>SQRT(H56)</f>
        <v>0.0347524579466451</v>
      </c>
      <c r="I57" s="116"/>
      <c r="J57" s="116"/>
      <c r="K57" s="118" t="s">
        <v>138</v>
      </c>
      <c r="L57" s="208">
        <f>SQRT(L56)</f>
        <v>0.0322855316752807</v>
      </c>
      <c r="P57" s="32">
        <f>H55*C56</f>
        <v>0.000711600000000001</v>
      </c>
    </row>
    <row r="58" s="32" customFormat="1" ht="25" customHeight="1" spans="1:12">
      <c r="A58" s="116"/>
      <c r="B58" s="118"/>
      <c r="C58" s="32"/>
      <c r="D58" s="210" t="s">
        <v>139</v>
      </c>
      <c r="E58" s="211">
        <f>AVERAGE(N44:N53)</f>
        <v>0.480133333333333</v>
      </c>
      <c r="F58" s="31"/>
      <c r="G58" s="210"/>
      <c r="H58" s="211"/>
      <c r="I58" s="32"/>
      <c r="J58" s="210" t="s">
        <v>139</v>
      </c>
      <c r="K58" s="208">
        <f>AVERAGE(N79:N88)</f>
        <v>4.13066666666667</v>
      </c>
      <c r="L58" s="208"/>
    </row>
    <row r="59" s="32" customFormat="1" ht="25" customHeight="1" spans="1:15">
      <c r="A59" s="116"/>
      <c r="B59" s="116"/>
      <c r="C59" s="32"/>
      <c r="D59" s="210" t="s">
        <v>140</v>
      </c>
      <c r="E59" s="212">
        <f>H57/E58</f>
        <v>0.072380848264326</v>
      </c>
      <c r="F59" s="31"/>
      <c r="G59" s="210"/>
      <c r="H59" s="211"/>
      <c r="I59" s="32"/>
      <c r="J59" s="210" t="s">
        <v>140</v>
      </c>
      <c r="K59" s="218">
        <f>H92/K58</f>
        <v>0.0327555191373425</v>
      </c>
      <c r="L59" s="208"/>
      <c r="M59" s="32"/>
      <c r="N59" s="215" t="s">
        <v>141</v>
      </c>
      <c r="O59" s="208">
        <f>H56/C56</f>
        <v>5.09162450815064</v>
      </c>
    </row>
    <row r="60" s="32" customFormat="1" ht="25" customHeight="1" spans="1:15">
      <c r="A60" s="125"/>
      <c r="B60" s="116"/>
      <c r="C60" s="32"/>
      <c r="D60" s="210" t="s">
        <v>142</v>
      </c>
      <c r="E60" s="212">
        <f>C57/E58</f>
        <v>0.0320771285334826</v>
      </c>
      <c r="G60" s="213"/>
      <c r="H60" s="214"/>
      <c r="I60" s="32"/>
      <c r="J60" s="210" t="s">
        <v>142</v>
      </c>
      <c r="K60" s="220">
        <f>C92/K58</f>
        <v>0.0125067680865457</v>
      </c>
      <c r="L60" s="221"/>
      <c r="M60" s="32"/>
      <c r="N60" s="222"/>
      <c r="O60" s="221"/>
    </row>
    <row r="61" s="32" customFormat="1" ht="25" customHeight="1" spans="2:16">
      <c r="B61" s="116"/>
      <c r="C61" s="32"/>
      <c r="D61" s="210" t="s">
        <v>143</v>
      </c>
      <c r="E61" s="212">
        <f>L57/E58</f>
        <v>0.0672428457552362</v>
      </c>
      <c r="J61" s="210" t="s">
        <v>143</v>
      </c>
      <c r="K61" s="218">
        <f>L92/K58</f>
        <v>0.0295245988503685</v>
      </c>
      <c r="P61" s="32">
        <f>H55*H55*C56*C56/(C55-1)</f>
        <v>1.2659364e-7</v>
      </c>
    </row>
    <row r="62" s="32" customFormat="1" ht="25" hidden="1" customHeight="1" spans="1:16">
      <c r="A62" s="116"/>
      <c r="B62" s="215" t="s">
        <v>144</v>
      </c>
      <c r="C62" s="119">
        <f>H55*C55</f>
        <v>15</v>
      </c>
      <c r="D62" s="116"/>
      <c r="E62" s="116"/>
      <c r="F62" s="116"/>
      <c r="G62" s="215" t="s">
        <v>110</v>
      </c>
      <c r="H62" s="208">
        <f>STDEV(C44:E48)</f>
        <v>0.0326493637362346</v>
      </c>
      <c r="I62" s="116"/>
      <c r="J62" s="116"/>
      <c r="K62" s="215" t="s">
        <v>145</v>
      </c>
      <c r="L62" s="208">
        <f>H62/SQRT(C62)</f>
        <v>0.008430029467647</v>
      </c>
      <c r="O62" s="32">
        <f>(O56+P57)^2</f>
        <v>9.77854593777779e-6</v>
      </c>
      <c r="P62" s="32">
        <f>P61+P55</f>
        <v>7.10041561777778e-7</v>
      </c>
    </row>
    <row r="63" s="32" customFormat="1" ht="25" customHeight="1" spans="1:12">
      <c r="A63" s="116"/>
      <c r="B63" s="215"/>
      <c r="C63" s="119"/>
      <c r="D63" s="116"/>
      <c r="E63" s="116"/>
      <c r="F63" s="116"/>
      <c r="G63" s="215"/>
      <c r="H63" s="208"/>
      <c r="I63" s="116"/>
      <c r="J63" s="116"/>
      <c r="K63" s="215"/>
      <c r="L63" s="208"/>
    </row>
    <row r="64" s="32" customFormat="1" ht="25" customHeight="1" spans="1:12">
      <c r="A64" s="216" t="s">
        <v>146</v>
      </c>
      <c r="B64" s="31"/>
      <c r="C64" s="31"/>
      <c r="D64" s="31"/>
      <c r="E64" s="31"/>
      <c r="F64" s="31"/>
      <c r="G64" s="31"/>
      <c r="H64" s="211"/>
      <c r="I64" s="31"/>
      <c r="J64" s="31"/>
      <c r="K64" s="31"/>
      <c r="L64" s="31"/>
    </row>
    <row r="65" s="32" customFormat="1" ht="25" hidden="1" customHeight="1" spans="1:12">
      <c r="A65" s="31"/>
      <c r="B65" s="210" t="s">
        <v>147</v>
      </c>
      <c r="C65" s="223">
        <f>C55*(H55-1)</f>
        <v>10</v>
      </c>
      <c r="D65" s="210" t="s">
        <v>148</v>
      </c>
      <c r="E65" s="223">
        <v>0.05</v>
      </c>
      <c r="F65" s="31"/>
      <c r="G65" s="224" t="s">
        <v>149</v>
      </c>
      <c r="H65" s="211">
        <f>CHIINV(E65/G38,C65)</f>
        <v>20.4831773508074</v>
      </c>
      <c r="I65" s="31"/>
      <c r="J65" s="31"/>
      <c r="K65" s="210" t="s">
        <v>150</v>
      </c>
      <c r="L65" s="212">
        <f>J39*SQRT(H65)/SQRT(C65)</f>
        <v>0.107339588502235</v>
      </c>
    </row>
    <row r="66" s="32" customFormat="1" ht="49" customHeight="1" spans="1:12">
      <c r="A66" s="225" t="str">
        <f>IF(E59&lt;L65," 验证试验批内变异系数为"&amp;TEXT(E59,"0.00%")&amp;",小于验证值"&amp;TEXT(L65,"0.00%")&amp;",符合规定标准，精密度验证通过。","  验证试验批内变异系数为"&amp;TEXT(E59,"0.00%")&amp;",不小于验证值"&amp;TEXT(L65,"0.00%")&amp;",精密度验证未能通过。")</f>
        <v> 验证试验批内变异系数为7.24%,小于验证值10.73%,符合规定标准，精密度验证通过。</v>
      </c>
      <c r="B66" s="225"/>
      <c r="C66" s="225"/>
      <c r="D66" s="225"/>
      <c r="E66" s="225"/>
      <c r="F66" s="225"/>
      <c r="G66" s="32"/>
      <c r="H66" s="225" t="str">
        <f>IF(K59&lt;L96," 验证试验批内变异系数为"&amp;TEXT(K59,"0.00%")&amp;",小于验证值"&amp;TEXT(L96,"0.00%")&amp;",符合规定标准，精密度验证通过。","  验证试验批内变异系数为"&amp;TEXT(K59,"0.00%")&amp;",不小于验证值"&amp;TEXT(L96,"0.00%")&amp;",精密度验证未能通过。")</f>
        <v> 验证试验批内变异系数为3.28%,小于验证值10.73%,符合规定标准，精密度验证通过。</v>
      </c>
      <c r="I66" s="225"/>
      <c r="J66" s="225"/>
      <c r="K66" s="225"/>
      <c r="L66" s="225"/>
    </row>
    <row r="67" s="32" customFormat="1" ht="49" customHeight="1" spans="1:12">
      <c r="A67" s="226"/>
      <c r="B67" s="226"/>
      <c r="C67" s="226"/>
      <c r="D67" s="226"/>
      <c r="E67" s="226"/>
      <c r="F67" s="226"/>
      <c r="G67" s="227"/>
      <c r="H67" s="226"/>
      <c r="I67" s="226"/>
      <c r="J67" s="226"/>
      <c r="K67" s="226"/>
      <c r="L67" s="226"/>
    </row>
    <row r="68" s="32" customFormat="1" ht="25" customHeight="1" spans="1:18">
      <c r="A68" s="216" t="s">
        <v>151</v>
      </c>
      <c r="B68" s="31"/>
      <c r="C68" s="31"/>
      <c r="D68" s="31"/>
      <c r="E68" s="31"/>
      <c r="F68" s="31"/>
      <c r="G68" s="31"/>
      <c r="H68" s="211"/>
      <c r="I68" s="31"/>
      <c r="J68" s="31"/>
      <c r="K68" s="31"/>
      <c r="L68" s="31"/>
      <c r="P68" s="209">
        <v>3.97</v>
      </c>
      <c r="Q68" s="209">
        <v>4.02</v>
      </c>
      <c r="R68" s="209">
        <v>4.18</v>
      </c>
    </row>
    <row r="69" s="32" customFormat="1" ht="25" hidden="1" customHeight="1" spans="1:18">
      <c r="A69" s="31"/>
      <c r="B69" s="210" t="s">
        <v>152</v>
      </c>
      <c r="C69" s="211">
        <f>O62/P62</f>
        <v>13.7717937430234</v>
      </c>
      <c r="D69" s="210" t="s">
        <v>148</v>
      </c>
      <c r="E69" s="223">
        <v>0.05</v>
      </c>
      <c r="F69" s="31"/>
      <c r="G69" s="224" t="s">
        <v>149</v>
      </c>
      <c r="H69" s="211">
        <f>CHIINV(E69/G38,C69)</f>
        <v>24.7356048849315</v>
      </c>
      <c r="I69" s="31"/>
      <c r="J69" s="31"/>
      <c r="K69" s="210" t="s">
        <v>153</v>
      </c>
      <c r="L69" s="212">
        <f>J40*SQRT(H69/C69)</f>
        <v>0.134018888782051</v>
      </c>
      <c r="N69" s="116"/>
      <c r="P69" s="209">
        <v>4.4</v>
      </c>
      <c r="Q69" s="209">
        <v>4.02</v>
      </c>
      <c r="R69" s="209">
        <v>4.09</v>
      </c>
    </row>
    <row r="70" s="32" customFormat="1" ht="42" customHeight="1" spans="1:18">
      <c r="A70" s="225" t="str">
        <f>IF(E61&lt;L69," 验证试验实验室内变异系数为"&amp;TEXT(E61,"0.00%")&amp;",小于验证值"&amp;TEXT(L69,"0.00%")&amp;",符合规定标准，精密度验证通过。","  验证试验实验室内变异系数为"&amp;TEXT(E61,"0.00%")&amp;",不小于验证值"&amp;TEXT(L69,"0.00%")&amp;",精密度验证未能通过。")</f>
        <v> 验证试验实验室内变异系数为6.72%,小于验证值13.40%,符合规定标准，精密度验证通过。</v>
      </c>
      <c r="B70" s="225"/>
      <c r="C70" s="225"/>
      <c r="D70" s="225"/>
      <c r="E70" s="225"/>
      <c r="F70" s="225"/>
      <c r="G70" s="31"/>
      <c r="H70" s="225" t="str">
        <f>IF(K61&lt;L99," 验证试验实验室内变异系数为"&amp;TEXT(K61,"0.00%")&amp;",小于验证值"&amp;TEXT(L99,"0.00%")&amp;",符合规定标准，精密度验证通过。","  验证试验实验室内变异系数为"&amp;TEXT(K61,"0.00%")&amp;",不小于验证值"&amp;TEXT(L99,"0.00%")&amp;",精密度验证未能通过。")</f>
        <v> 验证试验实验室内变异系数为2.95%,小于验证值13.66%,符合规定标准，精密度验证通过。</v>
      </c>
      <c r="I70" s="225"/>
      <c r="J70" s="225"/>
      <c r="K70" s="225"/>
      <c r="L70" s="225"/>
      <c r="P70" s="209">
        <v>4.09</v>
      </c>
      <c r="Q70" s="209">
        <v>4.12</v>
      </c>
      <c r="R70" s="209">
        <v>4.08</v>
      </c>
    </row>
    <row r="71" s="32" customFormat="1" ht="42" customHeight="1" spans="1:18">
      <c r="A71" s="225"/>
      <c r="B71" s="225"/>
      <c r="C71" s="225"/>
      <c r="D71" s="225"/>
      <c r="E71" s="225"/>
      <c r="F71" s="225"/>
      <c r="G71" s="32"/>
      <c r="H71" s="225"/>
      <c r="I71" s="225"/>
      <c r="J71" s="225"/>
      <c r="K71" s="225"/>
      <c r="L71" s="225"/>
      <c r="P71" s="209">
        <v>4.11</v>
      </c>
      <c r="Q71" s="209">
        <v>4.16</v>
      </c>
      <c r="R71" s="209">
        <v>4.2</v>
      </c>
    </row>
    <row r="72" s="32" customFormat="1" ht="42" customHeight="1" spans="1:18">
      <c r="A72" s="228" t="s">
        <v>154</v>
      </c>
      <c r="B72" s="228"/>
      <c r="C72" s="228"/>
      <c r="D72" s="228"/>
      <c r="E72" s="228"/>
      <c r="F72" s="228"/>
      <c r="G72" s="229"/>
      <c r="H72" s="229"/>
      <c r="I72" s="229"/>
      <c r="J72" s="229"/>
      <c r="K72" s="229"/>
      <c r="L72" s="229"/>
      <c r="P72" s="209">
        <v>4.36</v>
      </c>
      <c r="Q72" s="209">
        <v>4.18</v>
      </c>
      <c r="R72" s="209">
        <v>3.98</v>
      </c>
    </row>
    <row r="73" s="32" customFormat="1" ht="18" hidden="1" customHeight="1" spans="1:12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</row>
    <row r="74" s="32" customFormat="1" ht="22" hidden="1" customHeight="1" spans="1:12">
      <c r="A74" s="116"/>
      <c r="B74" s="115" t="s">
        <v>104</v>
      </c>
      <c r="C74" s="116" t="str">
        <f>I13</f>
        <v>e601</v>
      </c>
      <c r="D74" s="116"/>
      <c r="E74" s="116"/>
      <c r="F74" s="118" t="s">
        <v>105</v>
      </c>
      <c r="G74" s="119">
        <v>2</v>
      </c>
      <c r="H74" s="26" t="s">
        <v>106</v>
      </c>
      <c r="I74" s="26"/>
      <c r="J74" s="26"/>
      <c r="K74" s="26"/>
      <c r="L74" s="26"/>
    </row>
    <row r="75" s="32" customFormat="1" hidden="1" spans="1:12">
      <c r="A75" s="116"/>
      <c r="B75" s="118" t="s">
        <v>107</v>
      </c>
      <c r="C75" s="116" t="str">
        <f>C13</f>
        <v>乙肝表面抗原（HBsAg）</v>
      </c>
      <c r="D75" s="116"/>
      <c r="E75" s="116"/>
      <c r="F75" s="118" t="s">
        <v>82</v>
      </c>
      <c r="G75" s="119" t="str">
        <f>I15</f>
        <v>COI</v>
      </c>
      <c r="H75" s="118" t="s">
        <v>108</v>
      </c>
      <c r="I75" s="26" t="s">
        <v>109</v>
      </c>
      <c r="J75" s="218">
        <f>D20</f>
        <v>0.075</v>
      </c>
      <c r="K75" s="118" t="s">
        <v>110</v>
      </c>
      <c r="L75" s="209">
        <f>K58*J75</f>
        <v>0.3098</v>
      </c>
    </row>
    <row r="76" s="32" customFormat="1" hidden="1" spans="1:12">
      <c r="A76" s="116"/>
      <c r="B76" s="118" t="s">
        <v>155</v>
      </c>
      <c r="C76" s="205" t="str">
        <f>A31</f>
        <v>高值质控品</v>
      </c>
      <c r="D76" s="31"/>
      <c r="E76" s="31"/>
      <c r="F76" s="31"/>
      <c r="G76" s="31"/>
      <c r="H76" s="118" t="s">
        <v>112</v>
      </c>
      <c r="I76" s="26" t="s">
        <v>109</v>
      </c>
      <c r="J76" s="218">
        <f>D21</f>
        <v>0.1</v>
      </c>
      <c r="K76" s="118" t="s">
        <v>110</v>
      </c>
      <c r="L76" s="209">
        <f>K58*J76</f>
        <v>0.413066666666667</v>
      </c>
    </row>
    <row r="77" s="32" customFormat="1" hidden="1" spans="1:12">
      <c r="A77" s="116"/>
      <c r="B77" s="118" t="s">
        <v>113</v>
      </c>
      <c r="C77" s="119">
        <v>5</v>
      </c>
      <c r="D77" s="116"/>
      <c r="E77" s="118" t="s">
        <v>114</v>
      </c>
      <c r="F77" s="31"/>
      <c r="G77" s="119">
        <v>3</v>
      </c>
      <c r="H77" s="31"/>
      <c r="I77" s="31"/>
      <c r="J77" s="31"/>
      <c r="K77" s="31"/>
      <c r="L77" s="31"/>
    </row>
    <row r="78" s="32" customFormat="1" hidden="1" spans="6:12">
      <c r="F78" s="116"/>
      <c r="G78" s="116"/>
      <c r="H78" s="116"/>
      <c r="I78" s="116"/>
      <c r="J78" s="116"/>
      <c r="K78" s="116"/>
      <c r="L78" s="116"/>
    </row>
    <row r="79" s="32" customFormat="1" hidden="1" spans="6:16">
      <c r="F79" s="116"/>
      <c r="G79" s="116"/>
      <c r="H79" s="116"/>
      <c r="I79" s="116"/>
      <c r="J79" s="116"/>
      <c r="K79" s="116"/>
      <c r="L79" s="116"/>
      <c r="M79" s="32">
        <f t="shared" ref="M79:M83" si="6">IF(COUNT(H44:K44)=0,"",COUNT(H44:K44))</f>
        <v>3</v>
      </c>
      <c r="N79" s="32">
        <f t="shared" ref="N79:N83" si="7">IF(M79&lt;&gt;"",AVERAGE(H44:K44),"")</f>
        <v>4.05666666666667</v>
      </c>
      <c r="O79" s="32">
        <f t="shared" ref="O79:O83" si="8">IF(N79&lt;&gt;"",STDEV(H44:K44),"")</f>
        <v>0.109696551146029</v>
      </c>
      <c r="P79" s="32">
        <f t="shared" ref="P79:P83" si="9">IF(O79&lt;&gt;"",O79^2,"")</f>
        <v>0.0120333333333333</v>
      </c>
    </row>
    <row r="80" s="32" customFormat="1" hidden="1" spans="6:16">
      <c r="F80" s="116"/>
      <c r="G80" s="116"/>
      <c r="H80" s="116"/>
      <c r="I80" s="116"/>
      <c r="J80" s="116"/>
      <c r="K80" s="116"/>
      <c r="L80" s="116"/>
      <c r="M80" s="32">
        <f t="shared" si="6"/>
        <v>3</v>
      </c>
      <c r="N80" s="32">
        <f t="shared" si="7"/>
        <v>4.17</v>
      </c>
      <c r="O80" s="32">
        <f t="shared" si="8"/>
        <v>0.202237484161567</v>
      </c>
      <c r="P80" s="32">
        <f t="shared" si="9"/>
        <v>0.0409000000000002</v>
      </c>
    </row>
    <row r="81" s="32" customFormat="1" hidden="1" spans="6:16">
      <c r="F81" s="116"/>
      <c r="G81" s="116"/>
      <c r="H81" s="116"/>
      <c r="I81" s="116"/>
      <c r="J81" s="116"/>
      <c r="K81" s="116"/>
      <c r="L81" s="116"/>
      <c r="M81" s="32">
        <f t="shared" si="6"/>
        <v>3</v>
      </c>
      <c r="N81" s="32">
        <f t="shared" si="7"/>
        <v>4.09666666666667</v>
      </c>
      <c r="O81" s="32">
        <f t="shared" si="8"/>
        <v>0.0208166599946614</v>
      </c>
      <c r="P81" s="32">
        <f t="shared" si="9"/>
        <v>0.000433333333333336</v>
      </c>
    </row>
    <row r="82" s="32" customFormat="1" hidden="1" spans="6:16">
      <c r="F82" s="116"/>
      <c r="G82" s="116"/>
      <c r="H82" s="116"/>
      <c r="I82" s="116"/>
      <c r="J82" s="116"/>
      <c r="K82" s="116"/>
      <c r="L82" s="116"/>
      <c r="M82" s="32">
        <f t="shared" si="6"/>
        <v>3</v>
      </c>
      <c r="N82" s="32">
        <f t="shared" si="7"/>
        <v>4.15666666666667</v>
      </c>
      <c r="O82" s="32">
        <f t="shared" si="8"/>
        <v>0.0450924975282289</v>
      </c>
      <c r="P82" s="32">
        <f t="shared" si="9"/>
        <v>0.00203333333333333</v>
      </c>
    </row>
    <row r="83" s="32" customFormat="1" hidden="1" spans="6:16">
      <c r="F83" s="116"/>
      <c r="G83" s="116"/>
      <c r="H83" s="116"/>
      <c r="I83" s="116"/>
      <c r="J83" s="116"/>
      <c r="K83" s="116"/>
      <c r="L83" s="116"/>
      <c r="M83" s="32">
        <f t="shared" si="6"/>
        <v>3</v>
      </c>
      <c r="N83" s="32">
        <f t="shared" si="7"/>
        <v>4.17333333333333</v>
      </c>
      <c r="O83" s="32">
        <f t="shared" si="8"/>
        <v>0.190087699058444</v>
      </c>
      <c r="P83" s="32">
        <f t="shared" si="9"/>
        <v>0.0361333333333334</v>
      </c>
    </row>
    <row r="84" s="32" customFormat="1" hidden="1" spans="1:12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</row>
    <row r="85" s="32" customFormat="1" hidden="1" spans="1:12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</row>
    <row r="86" s="32" customFormat="1" hidden="1" spans="1:12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</row>
    <row r="87" s="32" customFormat="1" hidden="1" spans="1:12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</row>
    <row r="88" s="32" customFormat="1" hidden="1" spans="1:12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</row>
    <row r="89" s="32" customFormat="1" hidden="1" spans="1:12">
      <c r="A89" s="116"/>
      <c r="B89" s="116"/>
      <c r="C89" s="116" t="str">
        <f t="shared" ref="C89:L89" si="10">IF(COUNT(C79:C88)=0,"",COUNT(C79:C88))</f>
        <v/>
      </c>
      <c r="D89" s="116" t="str">
        <f t="shared" si="10"/>
        <v/>
      </c>
      <c r="E89" s="116" t="str">
        <f t="shared" si="10"/>
        <v/>
      </c>
      <c r="F89" s="116" t="str">
        <f t="shared" si="10"/>
        <v/>
      </c>
      <c r="G89" s="116" t="str">
        <f t="shared" si="10"/>
        <v/>
      </c>
      <c r="H89" s="116" t="str">
        <f t="shared" si="10"/>
        <v/>
      </c>
      <c r="I89" s="116" t="str">
        <f t="shared" si="10"/>
        <v/>
      </c>
      <c r="J89" s="116" t="str">
        <f t="shared" si="10"/>
        <v/>
      </c>
      <c r="K89" s="116" t="str">
        <f t="shared" si="10"/>
        <v/>
      </c>
      <c r="L89" s="116" t="str">
        <f t="shared" si="10"/>
        <v/>
      </c>
    </row>
    <row r="90" s="32" customFormat="1" hidden="1" spans="1:16">
      <c r="A90" s="116"/>
      <c r="B90" s="118" t="s">
        <v>131</v>
      </c>
      <c r="C90" s="119">
        <f>C77</f>
        <v>5</v>
      </c>
      <c r="D90" s="116"/>
      <c r="E90" s="116"/>
      <c r="F90" s="116"/>
      <c r="G90" s="118" t="s">
        <v>132</v>
      </c>
      <c r="H90" s="119">
        <f>G77</f>
        <v>3</v>
      </c>
      <c r="I90" s="116"/>
      <c r="J90" s="116"/>
      <c r="K90" s="32"/>
      <c r="L90" s="32"/>
      <c r="M90" s="32"/>
      <c r="N90" s="32"/>
      <c r="O90" s="32">
        <f>(H90-1)/C90</f>
        <v>0.4</v>
      </c>
      <c r="P90" s="32">
        <f>O90*H91*H91</f>
        <v>0.000134053617777778</v>
      </c>
    </row>
    <row r="91" s="32" customFormat="1" hidden="1" spans="1:15">
      <c r="A91" s="116"/>
      <c r="B91" s="118" t="s">
        <v>133</v>
      </c>
      <c r="C91" s="208">
        <f>C92^2</f>
        <v>0.00266888888888887</v>
      </c>
      <c r="D91" s="116"/>
      <c r="E91" s="116"/>
      <c r="F91" s="116"/>
      <c r="G91" s="118" t="s">
        <v>134</v>
      </c>
      <c r="H91" s="208">
        <f>AVERAGE(P79:P88)</f>
        <v>0.0183066666666667</v>
      </c>
      <c r="I91" s="116"/>
      <c r="J91" s="116"/>
      <c r="K91" s="118" t="s">
        <v>135</v>
      </c>
      <c r="L91" s="231">
        <f>((H90-1)/H90)*H91+C91</f>
        <v>0.0148733333333333</v>
      </c>
      <c r="O91" s="32">
        <f>H91*(H90-1)</f>
        <v>0.0366133333333334</v>
      </c>
    </row>
    <row r="92" s="32" customFormat="1" hidden="1" spans="1:16">
      <c r="A92" s="116"/>
      <c r="B92" s="118" t="s">
        <v>136</v>
      </c>
      <c r="C92" s="208">
        <f>STDEV(N79:N83)</f>
        <v>0.0516612900428248</v>
      </c>
      <c r="D92" s="116"/>
      <c r="E92" s="116"/>
      <c r="F92" s="116"/>
      <c r="G92" s="118" t="s">
        <v>137</v>
      </c>
      <c r="H92" s="208">
        <f>SQRT(H91)</f>
        <v>0.135302131049983</v>
      </c>
      <c r="I92" s="116"/>
      <c r="J92" s="116"/>
      <c r="K92" s="118" t="s">
        <v>138</v>
      </c>
      <c r="L92" s="208">
        <f>SQRT(L91)</f>
        <v>0.121956276317922</v>
      </c>
      <c r="P92" s="32">
        <f>H90*C91</f>
        <v>0.00800666666666662</v>
      </c>
    </row>
    <row r="93" s="32" customFormat="1" hidden="1" spans="1:16">
      <c r="A93" s="116"/>
      <c r="B93" s="215" t="s">
        <v>141</v>
      </c>
      <c r="C93" s="208">
        <f>H91/C91</f>
        <v>6.85928393005834</v>
      </c>
      <c r="D93" s="116"/>
      <c r="E93" s="116"/>
      <c r="F93" s="116"/>
      <c r="G93" s="118" t="s">
        <v>156</v>
      </c>
      <c r="I93" s="116"/>
      <c r="J93" s="116"/>
      <c r="K93" s="118" t="s">
        <v>157</v>
      </c>
      <c r="P93" s="32">
        <f>H90*H90*C91*C91/(C90-1)</f>
        <v>1.60266777777776e-5</v>
      </c>
    </row>
    <row r="94" s="32" customFormat="1" hidden="1" spans="1:16">
      <c r="A94" s="116"/>
      <c r="B94" s="215" t="s">
        <v>144</v>
      </c>
      <c r="C94" s="119">
        <f>H90*C90</f>
        <v>15</v>
      </c>
      <c r="D94" s="116"/>
      <c r="E94" s="116"/>
      <c r="F94" s="116"/>
      <c r="G94" s="215" t="s">
        <v>110</v>
      </c>
      <c r="H94" s="208">
        <f>STDEV(H44:K48)</f>
        <v>0.12395083510735</v>
      </c>
      <c r="I94" s="116"/>
      <c r="J94" s="116"/>
      <c r="K94" s="215" t="s">
        <v>145</v>
      </c>
      <c r="L94" s="208">
        <f>H94/SQRT(C94)</f>
        <v>0.0320039680079513</v>
      </c>
      <c r="O94" s="32">
        <f>(O91+P92)^2</f>
        <v>0.0019909444</v>
      </c>
      <c r="P94" s="32">
        <f>P93+P90</f>
        <v>0.000150080295555556</v>
      </c>
    </row>
    <row r="95" s="32" customFormat="1" hidden="1" spans="1:12">
      <c r="A95" s="230" t="s">
        <v>146</v>
      </c>
      <c r="B95" s="116"/>
      <c r="C95" s="116"/>
      <c r="D95" s="116"/>
      <c r="E95" s="116"/>
      <c r="F95" s="116"/>
      <c r="G95" s="116"/>
      <c r="H95" s="208"/>
      <c r="I95" s="116"/>
      <c r="J95" s="116"/>
      <c r="K95" s="116"/>
      <c r="L95" s="116"/>
    </row>
    <row r="96" s="32" customFormat="1" hidden="1" spans="1:12">
      <c r="A96" s="116"/>
      <c r="B96" s="118" t="s">
        <v>147</v>
      </c>
      <c r="C96" s="119">
        <f>C90*(H90-1)</f>
        <v>10</v>
      </c>
      <c r="D96" s="118" t="s">
        <v>148</v>
      </c>
      <c r="E96" s="119">
        <v>0.05</v>
      </c>
      <c r="F96" s="116"/>
      <c r="G96" s="215" t="s">
        <v>158</v>
      </c>
      <c r="H96" s="208">
        <f>CHIINV(E96/G74,C96)</f>
        <v>20.4831773508074</v>
      </c>
      <c r="I96" s="116"/>
      <c r="J96" s="116"/>
      <c r="K96" s="118" t="s">
        <v>150</v>
      </c>
      <c r="L96" s="218">
        <f>J75*SQRT(H96)/SQRT(C96)</f>
        <v>0.107339588502235</v>
      </c>
    </row>
    <row r="97" s="32" customFormat="1" ht="22" hidden="1" customHeight="1" spans="1:12">
      <c r="A97" s="118" t="s">
        <v>159</v>
      </c>
      <c r="B97" s="32"/>
      <c r="C97" s="31"/>
      <c r="D97" s="116"/>
      <c r="E97" s="116"/>
      <c r="F97" s="116"/>
      <c r="G97" s="116"/>
      <c r="H97" s="208"/>
      <c r="I97" s="116"/>
      <c r="J97" s="116"/>
      <c r="K97" s="116"/>
      <c r="L97" s="208"/>
    </row>
    <row r="98" s="32" customFormat="1" hidden="1" spans="1:12">
      <c r="A98" s="230" t="s">
        <v>151</v>
      </c>
      <c r="B98" s="116"/>
      <c r="C98" s="116"/>
      <c r="D98" s="116"/>
      <c r="E98" s="116"/>
      <c r="F98" s="116"/>
      <c r="G98" s="116"/>
      <c r="H98" s="208"/>
      <c r="I98" s="116"/>
      <c r="J98" s="116"/>
      <c r="K98" s="116"/>
      <c r="L98" s="116"/>
    </row>
    <row r="99" s="32" customFormat="1" ht="17" hidden="1" customHeight="1" spans="1:12">
      <c r="A99" s="116"/>
      <c r="B99" s="118" t="s">
        <v>152</v>
      </c>
      <c r="C99" s="208">
        <f>O94/P94</f>
        <v>13.2658614019254</v>
      </c>
      <c r="D99" s="118" t="s">
        <v>148</v>
      </c>
      <c r="E99" s="119">
        <v>0.05</v>
      </c>
      <c r="F99" s="116"/>
      <c r="G99" s="215" t="s">
        <v>158</v>
      </c>
      <c r="H99" s="208">
        <f>CHIINV(E99/G74,C99)</f>
        <v>24.7356048849315</v>
      </c>
      <c r="I99" s="116"/>
      <c r="J99" s="116"/>
      <c r="K99" s="118" t="s">
        <v>153</v>
      </c>
      <c r="L99" s="218">
        <f>J76*SQRT(H99/C99)</f>
        <v>0.136550577041097</v>
      </c>
    </row>
    <row r="100" s="32" customFormat="1" ht="27" hidden="1" customHeight="1" spans="1:12">
      <c r="A100" s="118" t="s">
        <v>159</v>
      </c>
      <c r="B100" s="32"/>
      <c r="C100" s="31"/>
      <c r="D100" s="116"/>
      <c r="E100" s="116"/>
      <c r="F100" s="116"/>
      <c r="G100" s="116"/>
      <c r="H100" s="116"/>
      <c r="I100" s="116"/>
      <c r="J100" s="116"/>
      <c r="K100" s="116"/>
      <c r="L100" s="116"/>
    </row>
    <row r="101" s="32" customFormat="1" spans="1:12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 s="32" customFormat="1" spans="1:1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 s="32" customFormat="1" spans="1:12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s="32" customFormat="1" spans="1:12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="32" customFormat="1" spans="1:12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</sheetData>
  <protectedRanges>
    <protectedRange sqref="C74:E74" name="区域1_1_1_3_2_2"/>
    <protectedRange sqref="C78:E78" name="区域1_1_1_3_1_1_1"/>
    <protectedRange sqref="K46" name="区域1_1_1_3_2_2_1_1"/>
  </protectedRanges>
  <mergeCells count="71">
    <mergeCell ref="A1:L1"/>
    <mergeCell ref="A3:L3"/>
    <mergeCell ref="A9:L9"/>
    <mergeCell ref="A10:L10"/>
    <mergeCell ref="A12:L12"/>
    <mergeCell ref="A13:B13"/>
    <mergeCell ref="C13:F13"/>
    <mergeCell ref="G13:H13"/>
    <mergeCell ref="I13:L13"/>
    <mergeCell ref="A14:B14"/>
    <mergeCell ref="C14:F14"/>
    <mergeCell ref="G14:H14"/>
    <mergeCell ref="I14:L14"/>
    <mergeCell ref="A15:B15"/>
    <mergeCell ref="C15:F15"/>
    <mergeCell ref="G15:H15"/>
    <mergeCell ref="I15:L15"/>
    <mergeCell ref="A16:B16"/>
    <mergeCell ref="C16:F16"/>
    <mergeCell ref="G16:H16"/>
    <mergeCell ref="I16:L16"/>
    <mergeCell ref="A17:B17"/>
    <mergeCell ref="C17:F17"/>
    <mergeCell ref="G17:H17"/>
    <mergeCell ref="I17:L17"/>
    <mergeCell ref="A18:B18"/>
    <mergeCell ref="C18:F18"/>
    <mergeCell ref="G18:H18"/>
    <mergeCell ref="I18:L18"/>
    <mergeCell ref="A19:B19"/>
    <mergeCell ref="C19:F19"/>
    <mergeCell ref="G19:H19"/>
    <mergeCell ref="I19:L19"/>
    <mergeCell ref="G20:H20"/>
    <mergeCell ref="I20:L20"/>
    <mergeCell ref="G21:H21"/>
    <mergeCell ref="I21:L21"/>
    <mergeCell ref="A24:L24"/>
    <mergeCell ref="A25:B25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4:C34"/>
    <mergeCell ref="A37:L37"/>
    <mergeCell ref="H38:L38"/>
    <mergeCell ref="C42:E42"/>
    <mergeCell ref="H42:K42"/>
    <mergeCell ref="I43:J43"/>
    <mergeCell ref="I44:J44"/>
    <mergeCell ref="I45:J45"/>
    <mergeCell ref="I46:J46"/>
    <mergeCell ref="I47:J47"/>
    <mergeCell ref="I48:J48"/>
    <mergeCell ref="A66:F66"/>
    <mergeCell ref="H66:L66"/>
    <mergeCell ref="A70:F70"/>
    <mergeCell ref="H70:L70"/>
    <mergeCell ref="A72:F72"/>
    <mergeCell ref="H74:L74"/>
    <mergeCell ref="A4:L7"/>
    <mergeCell ref="A27:L28"/>
    <mergeCell ref="A32:L33"/>
  </mergeCells>
  <pageMargins left="0.472222222222222" right="0.25" top="0.75" bottom="0.75" header="0.314583333333333" footer="0.29861111111111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view="pageBreakPreview" zoomScaleNormal="100" topLeftCell="A17" workbookViewId="0">
      <selection activeCell="H41" sqref="H41"/>
    </sheetView>
  </sheetViews>
  <sheetFormatPr defaultColWidth="9.10185185185185" defaultRowHeight="14.4"/>
  <cols>
    <col min="1" max="1" width="9" style="76" customWidth="1"/>
    <col min="2" max="2" width="8.77777777777778" style="76" customWidth="1"/>
    <col min="3" max="3" width="9.66666666666667" style="76" customWidth="1"/>
    <col min="4" max="4" width="9.55555555555556" style="76" customWidth="1"/>
    <col min="5" max="5" width="9.33333333333333" style="76" customWidth="1"/>
    <col min="6" max="6" width="10.1111111111111" style="76" customWidth="1"/>
    <col min="7" max="12" width="11" style="76" customWidth="1"/>
    <col min="13" max="13" width="9.10185185185185" style="76"/>
    <col min="14" max="14" width="14.1111111111111" style="76"/>
    <col min="15" max="16" width="9.10185185185185" style="76"/>
    <col min="17" max="17" width="10.7777777777778" style="76" customWidth="1"/>
    <col min="18" max="18" width="12.8888888888889" style="76" customWidth="1"/>
    <col min="19" max="19" width="14.1111111111111" style="76" customWidth="1"/>
    <col min="20" max="20" width="10.7777777777778" style="76" customWidth="1"/>
    <col min="21" max="16384" width="9.10185185185185" style="76"/>
  </cols>
  <sheetData>
    <row r="1" s="45" customFormat="1" ht="34.95" customHeight="1" spans="1:12">
      <c r="A1" s="80" t="s">
        <v>160</v>
      </c>
      <c r="B1" s="80"/>
      <c r="C1" s="80"/>
      <c r="D1" s="80"/>
      <c r="E1" s="80"/>
      <c r="F1" s="80"/>
      <c r="G1" s="80"/>
      <c r="H1" s="80"/>
      <c r="I1" s="80"/>
      <c r="J1" s="138"/>
      <c r="K1" s="138"/>
      <c r="L1" s="138"/>
    </row>
    <row r="2" ht="30" customHeight="1" spans="1:12">
      <c r="A2" s="81" t="s">
        <v>161</v>
      </c>
      <c r="B2" s="81"/>
      <c r="C2" s="81"/>
      <c r="D2" s="81"/>
      <c r="E2" s="81"/>
      <c r="F2" s="81"/>
      <c r="G2" s="81"/>
      <c r="H2" s="81"/>
      <c r="I2" s="81"/>
      <c r="J2" s="139"/>
      <c r="K2" s="139"/>
      <c r="L2" s="139"/>
    </row>
    <row r="3" ht="61" customHeight="1" spans="1:12">
      <c r="A3" s="83" t="s">
        <v>162</v>
      </c>
      <c r="B3" s="83"/>
      <c r="C3" s="83"/>
      <c r="D3" s="83"/>
      <c r="E3" s="83"/>
      <c r="F3" s="83"/>
      <c r="G3" s="83"/>
      <c r="H3" s="83"/>
      <c r="I3" s="83"/>
      <c r="J3" s="140"/>
      <c r="K3" s="140"/>
      <c r="L3" s="140"/>
    </row>
    <row r="4" ht="8" customHeight="1" spans="1:1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="45" customFormat="1" ht="16" customHeight="1" spans="1:7">
      <c r="A5" s="84" t="s">
        <v>77</v>
      </c>
      <c r="B5" s="84"/>
      <c r="C5" s="84"/>
      <c r="D5" s="84"/>
      <c r="E5" s="84"/>
      <c r="F5" s="84"/>
      <c r="G5" s="84"/>
    </row>
    <row r="6" ht="23" customHeight="1" spans="1:12">
      <c r="A6" s="83" t="s">
        <v>163</v>
      </c>
      <c r="B6" s="83"/>
      <c r="C6" s="83"/>
      <c r="D6" s="83"/>
      <c r="E6" s="83"/>
      <c r="F6" s="83"/>
      <c r="G6" s="83"/>
      <c r="H6" s="83"/>
      <c r="I6" s="83"/>
      <c r="J6" s="140"/>
      <c r="K6" s="140"/>
      <c r="L6" s="140"/>
    </row>
    <row r="7" ht="9" customHeight="1" spans="1:7">
      <c r="A7" s="83"/>
      <c r="B7" s="83"/>
      <c r="C7" s="83"/>
      <c r="D7" s="83"/>
      <c r="E7" s="83"/>
      <c r="F7" s="83"/>
      <c r="G7" s="83"/>
    </row>
    <row r="8" s="45" customFormat="1" ht="24" customHeight="1" spans="1:7">
      <c r="A8" s="84" t="s">
        <v>79</v>
      </c>
      <c r="B8" s="84"/>
      <c r="C8" s="84"/>
      <c r="D8" s="84"/>
      <c r="E8" s="84"/>
      <c r="F8" s="84"/>
      <c r="G8" s="84"/>
    </row>
    <row r="9" s="45" customFormat="1" ht="17" customHeight="1" spans="1:12">
      <c r="A9" s="85" t="s">
        <v>36</v>
      </c>
      <c r="B9" s="85"/>
      <c r="C9" s="85" t="str">
        <f>结果汇总!B3</f>
        <v>乙肝表面抗原（HBsAg）</v>
      </c>
      <c r="D9" s="85"/>
      <c r="E9" s="86" t="s">
        <v>37</v>
      </c>
      <c r="F9" s="86"/>
      <c r="G9" s="85" t="str">
        <f>结果汇总!G3</f>
        <v>e601</v>
      </c>
      <c r="H9" s="85"/>
      <c r="I9" s="141"/>
      <c r="J9" s="141"/>
      <c r="K9" s="142"/>
      <c r="L9" s="142"/>
    </row>
    <row r="10" s="45" customFormat="1" ht="17" customHeight="1" spans="1:12">
      <c r="A10" s="87" t="s">
        <v>38</v>
      </c>
      <c r="B10" s="87"/>
      <c r="C10" s="87" t="str">
        <f>结果汇总!B4</f>
        <v>电化学发光法</v>
      </c>
      <c r="D10" s="87"/>
      <c r="E10" s="88" t="s">
        <v>40</v>
      </c>
      <c r="F10" s="88"/>
      <c r="G10" s="87" t="str">
        <f>结果汇总!G4</f>
        <v>MHZYY-JYK-SM-1016</v>
      </c>
      <c r="H10" s="87"/>
      <c r="I10" s="141"/>
      <c r="J10" s="141"/>
      <c r="K10" s="142"/>
      <c r="L10" s="142"/>
    </row>
    <row r="11" s="45" customFormat="1" ht="17" customHeight="1" spans="1:12">
      <c r="A11" s="87" t="s">
        <v>82</v>
      </c>
      <c r="B11" s="87"/>
      <c r="C11" s="87" t="str">
        <f>结果汇总!B5</f>
        <v>COI</v>
      </c>
      <c r="D11" s="87"/>
      <c r="E11" s="157"/>
      <c r="F11" s="157"/>
      <c r="G11" s="95"/>
      <c r="H11" s="95"/>
      <c r="I11" s="141"/>
      <c r="J11" s="141"/>
      <c r="K11" s="142"/>
      <c r="L11" s="142"/>
    </row>
    <row r="12" s="45" customFormat="1" ht="17" customHeight="1" spans="1:12">
      <c r="A12" s="90" t="s">
        <v>43</v>
      </c>
      <c r="B12" s="90"/>
      <c r="C12" s="87" t="str">
        <f>结果汇总!B6</f>
        <v>罗氏乙肝表面抗原测定试剂盒</v>
      </c>
      <c r="D12" s="87"/>
      <c r="E12" s="87" t="s">
        <v>45</v>
      </c>
      <c r="F12" s="87"/>
      <c r="G12" s="87">
        <f>结果汇总!G6</f>
        <v>812808</v>
      </c>
      <c r="H12" s="87"/>
      <c r="I12" s="141"/>
      <c r="J12" s="141"/>
      <c r="K12" s="142"/>
      <c r="L12" s="142"/>
    </row>
    <row r="13" s="45" customFormat="1" ht="17" customHeight="1" spans="1:12">
      <c r="A13" s="90" t="s">
        <v>46</v>
      </c>
      <c r="B13" s="90"/>
      <c r="C13" s="87" t="str">
        <f>结果汇总!B7</f>
        <v>罗氏试剂盒自带校准品</v>
      </c>
      <c r="D13" s="87"/>
      <c r="E13" s="87" t="s">
        <v>48</v>
      </c>
      <c r="F13" s="87"/>
      <c r="G13" s="87">
        <f>结果汇总!G7</f>
        <v>812808</v>
      </c>
      <c r="H13" s="87"/>
      <c r="I13" s="141"/>
      <c r="J13" s="141"/>
      <c r="K13" s="142"/>
      <c r="L13" s="142"/>
    </row>
    <row r="14" s="45" customFormat="1" ht="17" customHeight="1" spans="1:12">
      <c r="A14" s="94" t="s">
        <v>164</v>
      </c>
      <c r="B14" s="94"/>
      <c r="C14" s="89" t="s">
        <v>165</v>
      </c>
      <c r="D14" s="89"/>
      <c r="E14" s="158" t="s">
        <v>52</v>
      </c>
      <c r="F14" s="158"/>
      <c r="G14" s="90" t="str">
        <f>主封面!E32</f>
        <v>金子铮</v>
      </c>
      <c r="H14" s="90"/>
      <c r="I14" s="141"/>
      <c r="J14" s="141"/>
      <c r="K14" s="142"/>
      <c r="L14" s="142"/>
    </row>
    <row r="15" s="45" customFormat="1" ht="17" customHeight="1" spans="1:8">
      <c r="A15" s="95" t="s">
        <v>166</v>
      </c>
      <c r="B15" s="95"/>
      <c r="C15" s="174" t="s">
        <v>167</v>
      </c>
      <c r="D15" s="175">
        <v>0.95</v>
      </c>
      <c r="E15" s="158" t="s">
        <v>53</v>
      </c>
      <c r="F15" s="158"/>
      <c r="G15" s="90" t="str">
        <f>主封面!E34</f>
        <v>杨静</v>
      </c>
      <c r="H15" s="90"/>
    </row>
    <row r="16" s="45" customFormat="1" ht="17" customHeight="1" spans="1:8">
      <c r="A16" s="98" t="s">
        <v>168</v>
      </c>
      <c r="B16" s="98"/>
      <c r="C16" s="160" t="s">
        <v>167</v>
      </c>
      <c r="D16" s="161">
        <v>0.95</v>
      </c>
      <c r="E16" s="98" t="s">
        <v>89</v>
      </c>
      <c r="F16" s="98"/>
      <c r="G16" s="163">
        <f>精密度!I21</f>
        <v>45793</v>
      </c>
      <c r="H16" s="163"/>
    </row>
    <row r="17" s="45" customFormat="1" ht="15" customHeight="1" spans="1:7">
      <c r="A17" s="101"/>
      <c r="B17" s="101"/>
      <c r="C17" s="101"/>
      <c r="D17" s="101"/>
      <c r="E17" s="101"/>
      <c r="F17" s="101"/>
      <c r="G17" s="101"/>
    </row>
    <row r="18" s="45" customFormat="1" ht="19" customHeight="1" spans="1:7">
      <c r="A18" s="84" t="s">
        <v>169</v>
      </c>
      <c r="B18" s="84"/>
      <c r="C18" s="84"/>
      <c r="D18" s="84"/>
      <c r="E18" s="84"/>
      <c r="F18" s="84"/>
      <c r="G18" s="84"/>
    </row>
    <row r="19" s="45" customFormat="1" ht="15" customHeight="1" spans="1:9">
      <c r="A19" s="33" t="s">
        <v>170</v>
      </c>
      <c r="B19" s="34" t="s">
        <v>171</v>
      </c>
      <c r="C19" s="34"/>
      <c r="D19" s="34"/>
      <c r="E19" s="34"/>
      <c r="F19" s="34" t="s">
        <v>172</v>
      </c>
      <c r="G19" s="34"/>
      <c r="H19" s="34"/>
      <c r="I19" s="34"/>
    </row>
    <row r="20" s="45" customFormat="1" ht="13" customHeight="1" spans="1:9">
      <c r="A20" s="35">
        <v>1</v>
      </c>
      <c r="B20" s="35" t="s">
        <v>173</v>
      </c>
      <c r="C20" s="35"/>
      <c r="D20" s="35" t="s">
        <v>144</v>
      </c>
      <c r="E20" s="35"/>
      <c r="F20" s="35">
        <v>0.526</v>
      </c>
      <c r="G20" s="35"/>
      <c r="H20" s="35" t="s">
        <v>144</v>
      </c>
      <c r="I20" s="35"/>
    </row>
    <row r="21" s="45" customFormat="1" ht="13" customHeight="1" spans="1:9">
      <c r="A21" s="35">
        <v>2</v>
      </c>
      <c r="B21" s="35" t="s">
        <v>174</v>
      </c>
      <c r="C21" s="35"/>
      <c r="D21" s="35" t="s">
        <v>144</v>
      </c>
      <c r="E21" s="35"/>
      <c r="F21" s="35">
        <v>0.425</v>
      </c>
      <c r="G21" s="35"/>
      <c r="H21" s="35" t="s">
        <v>144</v>
      </c>
      <c r="I21" s="35"/>
    </row>
    <row r="22" s="45" customFormat="1" ht="13" customHeight="1" spans="1:9">
      <c r="A22" s="35">
        <v>3</v>
      </c>
      <c r="B22" s="35" t="s">
        <v>175</v>
      </c>
      <c r="C22" s="35"/>
      <c r="D22" s="35" t="s">
        <v>144</v>
      </c>
      <c r="E22" s="35"/>
      <c r="F22" s="35">
        <v>0.611</v>
      </c>
      <c r="G22" s="35"/>
      <c r="H22" s="35" t="s">
        <v>144</v>
      </c>
      <c r="I22" s="35"/>
    </row>
    <row r="23" s="45" customFormat="1" ht="13" customHeight="1" spans="1:9">
      <c r="A23" s="35">
        <v>4</v>
      </c>
      <c r="B23" s="35" t="s">
        <v>176</v>
      </c>
      <c r="C23" s="35"/>
      <c r="D23" s="35" t="s">
        <v>144</v>
      </c>
      <c r="E23" s="35"/>
      <c r="F23" s="35">
        <v>0.458</v>
      </c>
      <c r="G23" s="35"/>
      <c r="H23" s="35" t="s">
        <v>144</v>
      </c>
      <c r="I23" s="35"/>
    </row>
    <row r="24" s="45" customFormat="1" ht="13" customHeight="1" spans="1:9">
      <c r="A24" s="35">
        <v>5</v>
      </c>
      <c r="B24" s="35" t="s">
        <v>177</v>
      </c>
      <c r="C24" s="35"/>
      <c r="D24" s="35" t="s">
        <v>144</v>
      </c>
      <c r="E24" s="35"/>
      <c r="F24" s="35">
        <v>0.518</v>
      </c>
      <c r="G24" s="35"/>
      <c r="H24" s="35" t="s">
        <v>144</v>
      </c>
      <c r="I24" s="35"/>
    </row>
    <row r="25" s="45" customFormat="1" ht="13" customHeight="1" spans="1:9">
      <c r="A25" s="35">
        <v>6</v>
      </c>
      <c r="B25" s="35" t="s">
        <v>178</v>
      </c>
      <c r="C25" s="35"/>
      <c r="D25" s="35" t="s">
        <v>144</v>
      </c>
      <c r="E25" s="35"/>
      <c r="F25" s="35">
        <v>0.567</v>
      </c>
      <c r="G25" s="35"/>
      <c r="H25" s="35" t="s">
        <v>144</v>
      </c>
      <c r="I25" s="35"/>
    </row>
    <row r="26" s="45" customFormat="1" ht="13" customHeight="1" spans="1:9">
      <c r="A26" s="35">
        <v>7</v>
      </c>
      <c r="B26" s="35" t="s">
        <v>179</v>
      </c>
      <c r="C26" s="35"/>
      <c r="D26" s="35" t="s">
        <v>144</v>
      </c>
      <c r="E26" s="35"/>
      <c r="F26" s="176">
        <v>0.449</v>
      </c>
      <c r="G26" s="35"/>
      <c r="H26" s="35" t="s">
        <v>144</v>
      </c>
      <c r="I26" s="35"/>
    </row>
    <row r="27" s="45" customFormat="1" ht="13" customHeight="1" spans="1:9">
      <c r="A27" s="35">
        <v>8</v>
      </c>
      <c r="B27" s="35" t="s">
        <v>180</v>
      </c>
      <c r="C27" s="35"/>
      <c r="D27" s="35" t="s">
        <v>144</v>
      </c>
      <c r="E27" s="35"/>
      <c r="F27" s="35">
        <v>0.634</v>
      </c>
      <c r="G27" s="35"/>
      <c r="H27" s="35" t="s">
        <v>144</v>
      </c>
      <c r="I27" s="35"/>
    </row>
    <row r="28" s="45" customFormat="1" ht="13" customHeight="1" spans="1:9">
      <c r="A28" s="35">
        <v>9</v>
      </c>
      <c r="B28" s="35" t="s">
        <v>181</v>
      </c>
      <c r="C28" s="35"/>
      <c r="D28" s="35" t="s">
        <v>144</v>
      </c>
      <c r="E28" s="35"/>
      <c r="F28" s="35">
        <v>0.637</v>
      </c>
      <c r="G28" s="35"/>
      <c r="H28" s="35" t="s">
        <v>144</v>
      </c>
      <c r="I28" s="35"/>
    </row>
    <row r="29" s="45" customFormat="1" ht="13" customHeight="1" spans="1:9">
      <c r="A29" s="35">
        <v>10</v>
      </c>
      <c r="B29" s="35" t="s">
        <v>182</v>
      </c>
      <c r="C29" s="35"/>
      <c r="D29" s="35" t="s">
        <v>144</v>
      </c>
      <c r="E29" s="35"/>
      <c r="F29" s="35">
        <v>0.358</v>
      </c>
      <c r="G29" s="35"/>
      <c r="H29" s="35" t="s">
        <v>144</v>
      </c>
      <c r="I29" s="35"/>
    </row>
    <row r="30" s="45" customFormat="1" ht="13" customHeight="1" spans="1:9">
      <c r="A30" s="35">
        <v>11</v>
      </c>
      <c r="B30" s="35" t="s">
        <v>183</v>
      </c>
      <c r="C30" s="35"/>
      <c r="D30" s="35" t="s">
        <v>184</v>
      </c>
      <c r="E30" s="35"/>
      <c r="F30" s="35">
        <v>2.36</v>
      </c>
      <c r="G30" s="35"/>
      <c r="H30" s="58" t="s">
        <v>184</v>
      </c>
      <c r="I30" s="58"/>
    </row>
    <row r="31" s="45" customFormat="1" ht="13" customHeight="1" spans="1:9">
      <c r="A31" s="35">
        <v>12</v>
      </c>
      <c r="B31" s="35" t="s">
        <v>185</v>
      </c>
      <c r="C31" s="35"/>
      <c r="D31" s="35" t="s">
        <v>184</v>
      </c>
      <c r="E31" s="35"/>
      <c r="F31" s="35">
        <v>12.99</v>
      </c>
      <c r="G31" s="35"/>
      <c r="H31" s="58" t="s">
        <v>184</v>
      </c>
      <c r="I31" s="58"/>
    </row>
    <row r="32" s="45" customFormat="1" ht="13" customHeight="1" spans="1:9">
      <c r="A32" s="35">
        <v>13</v>
      </c>
      <c r="B32" s="35" t="s">
        <v>186</v>
      </c>
      <c r="C32" s="35"/>
      <c r="D32" s="35" t="s">
        <v>184</v>
      </c>
      <c r="E32" s="35"/>
      <c r="F32" s="35">
        <v>8.34</v>
      </c>
      <c r="G32" s="35"/>
      <c r="H32" s="58" t="s">
        <v>184</v>
      </c>
      <c r="I32" s="58"/>
    </row>
    <row r="33" s="45" customFormat="1" ht="13" customHeight="1" spans="1:9">
      <c r="A33" s="35">
        <v>14</v>
      </c>
      <c r="B33" s="35" t="s">
        <v>187</v>
      </c>
      <c r="C33" s="35"/>
      <c r="D33" s="35" t="s">
        <v>184</v>
      </c>
      <c r="E33" s="35"/>
      <c r="F33" s="35">
        <v>15.44</v>
      </c>
      <c r="G33" s="35"/>
      <c r="H33" s="58" t="s">
        <v>184</v>
      </c>
      <c r="I33" s="58"/>
    </row>
    <row r="34" s="45" customFormat="1" ht="13" customHeight="1" spans="1:9">
      <c r="A34" s="35">
        <v>15</v>
      </c>
      <c r="B34" s="35" t="s">
        <v>188</v>
      </c>
      <c r="C34" s="35"/>
      <c r="D34" s="35" t="s">
        <v>184</v>
      </c>
      <c r="E34" s="35"/>
      <c r="F34" s="35">
        <v>202.41</v>
      </c>
      <c r="G34" s="35"/>
      <c r="H34" s="58" t="s">
        <v>184</v>
      </c>
      <c r="I34" s="58"/>
    </row>
    <row r="35" s="45" customFormat="1" ht="13" customHeight="1" spans="1:9">
      <c r="A35" s="35">
        <v>16</v>
      </c>
      <c r="B35" s="35" t="s">
        <v>189</v>
      </c>
      <c r="C35" s="35"/>
      <c r="D35" s="35" t="s">
        <v>184</v>
      </c>
      <c r="E35" s="35"/>
      <c r="F35" s="35">
        <v>112.32</v>
      </c>
      <c r="G35" s="35"/>
      <c r="H35" s="58" t="s">
        <v>184</v>
      </c>
      <c r="I35" s="58"/>
    </row>
    <row r="36" s="45" customFormat="1" ht="13" customHeight="1" spans="1:9">
      <c r="A36" s="35">
        <v>17</v>
      </c>
      <c r="B36" s="35" t="s">
        <v>190</v>
      </c>
      <c r="C36" s="35"/>
      <c r="D36" s="35" t="s">
        <v>184</v>
      </c>
      <c r="E36" s="35"/>
      <c r="F36" s="35">
        <v>352.32</v>
      </c>
      <c r="G36" s="35"/>
      <c r="H36" s="58" t="s">
        <v>184</v>
      </c>
      <c r="I36" s="58"/>
    </row>
    <row r="37" s="45" customFormat="1" ht="13" customHeight="1" spans="1:9">
      <c r="A37" s="35">
        <v>18</v>
      </c>
      <c r="B37" s="35" t="s">
        <v>191</v>
      </c>
      <c r="C37" s="35"/>
      <c r="D37" s="35" t="s">
        <v>184</v>
      </c>
      <c r="E37" s="35"/>
      <c r="F37" s="35">
        <v>422.36</v>
      </c>
      <c r="G37" s="35"/>
      <c r="H37" s="58" t="s">
        <v>184</v>
      </c>
      <c r="I37" s="58"/>
    </row>
    <row r="38" s="45" customFormat="1" ht="13" customHeight="1" spans="1:9">
      <c r="A38" s="35">
        <v>19</v>
      </c>
      <c r="B38" s="35" t="s">
        <v>192</v>
      </c>
      <c r="C38" s="35"/>
      <c r="D38" s="35" t="s">
        <v>184</v>
      </c>
      <c r="E38" s="35"/>
      <c r="F38" s="35">
        <v>21.45</v>
      </c>
      <c r="G38" s="35"/>
      <c r="H38" s="58" t="s">
        <v>184</v>
      </c>
      <c r="I38" s="58"/>
    </row>
    <row r="39" s="45" customFormat="1" ht="13" customHeight="1" spans="1:9">
      <c r="A39" s="43">
        <v>20</v>
      </c>
      <c r="B39" s="43" t="s">
        <v>193</v>
      </c>
      <c r="C39" s="43"/>
      <c r="D39" s="43" t="s">
        <v>184</v>
      </c>
      <c r="E39" s="43"/>
      <c r="F39" s="43">
        <v>6.36</v>
      </c>
      <c r="G39" s="43"/>
      <c r="H39" s="66" t="s">
        <v>184</v>
      </c>
      <c r="I39" s="66"/>
    </row>
    <row r="40" s="45" customFormat="1" ht="21" customHeight="1" spans="1:8">
      <c r="A40" s="102" t="s">
        <v>166</v>
      </c>
      <c r="B40" s="102"/>
      <c r="C40" s="172">
        <v>1</v>
      </c>
      <c r="D40" s="54"/>
      <c r="E40" s="89" t="s">
        <v>168</v>
      </c>
      <c r="F40" s="89"/>
      <c r="G40" s="172">
        <v>1</v>
      </c>
      <c r="H40" s="54"/>
    </row>
    <row r="41" s="45" customFormat="1" ht="21" customHeight="1" spans="1:8">
      <c r="A41" s="102" t="s">
        <v>194</v>
      </c>
      <c r="B41" s="102"/>
      <c r="C41" s="172">
        <v>1</v>
      </c>
      <c r="D41" s="54"/>
      <c r="E41" s="89"/>
      <c r="F41" s="89"/>
      <c r="G41" s="172"/>
      <c r="H41" s="54"/>
    </row>
    <row r="42" s="45" customFormat="1" ht="13" customHeight="1" spans="1:8">
      <c r="A42" s="102"/>
      <c r="B42" s="102"/>
      <c r="C42" s="172"/>
      <c r="D42" s="54"/>
      <c r="E42" s="89"/>
      <c r="F42" s="89"/>
      <c r="G42" s="172"/>
      <c r="H42" s="54"/>
    </row>
    <row r="43" s="45" customFormat="1" ht="20" customHeight="1" spans="1:12">
      <c r="A43" s="105" t="s">
        <v>92</v>
      </c>
      <c r="B43" s="105"/>
      <c r="C43" s="105"/>
      <c r="D43" s="105"/>
      <c r="E43" s="105"/>
      <c r="F43" s="105"/>
      <c r="G43" s="105"/>
      <c r="H43" s="105"/>
      <c r="I43" s="143"/>
      <c r="J43" s="143"/>
      <c r="K43" s="143"/>
      <c r="L43" s="143"/>
    </row>
    <row r="44" s="45" customFormat="1" ht="21" hidden="1" customHeight="1" spans="1:12">
      <c r="A44" s="105"/>
      <c r="B44" s="105"/>
      <c r="C44" s="105"/>
      <c r="D44" s="105"/>
      <c r="E44" s="105"/>
      <c r="F44" s="105"/>
      <c r="G44" s="105"/>
      <c r="H44" s="105"/>
      <c r="I44" s="143"/>
      <c r="J44" s="143"/>
      <c r="K44" s="143"/>
      <c r="L44" s="143"/>
    </row>
    <row r="45" s="45" customFormat="1" ht="20" customHeight="1" spans="1:9">
      <c r="A45" s="173" t="s">
        <v>195</v>
      </c>
      <c r="B45" s="173"/>
      <c r="C45" s="173"/>
      <c r="D45" s="173"/>
      <c r="E45" s="173"/>
      <c r="F45" s="173"/>
      <c r="G45" s="173"/>
      <c r="H45" s="173"/>
      <c r="I45" s="173"/>
    </row>
    <row r="46" s="45" customFormat="1" ht="20" customHeight="1" spans="1:9">
      <c r="A46" s="89" t="s">
        <v>71</v>
      </c>
      <c r="B46" s="89"/>
      <c r="C46" s="89"/>
      <c r="D46" s="89"/>
      <c r="E46" s="89"/>
      <c r="F46" s="89"/>
      <c r="G46" s="89"/>
      <c r="H46" s="89"/>
      <c r="I46" s="89"/>
    </row>
    <row r="47" s="45" customFormat="1" ht="21" customHeight="1" spans="2:12">
      <c r="B47" s="120"/>
      <c r="C47" s="120"/>
      <c r="D47" s="120"/>
      <c r="E47" s="120"/>
      <c r="F47" s="120"/>
      <c r="J47" s="112"/>
      <c r="K47" s="112"/>
      <c r="L47" s="112"/>
    </row>
    <row r="48" customFormat="1" spans="1:12">
      <c r="A48" s="76"/>
      <c r="B48" s="76"/>
      <c r="C48" s="76"/>
      <c r="D48" s="76"/>
      <c r="E48" s="76"/>
      <c r="F48" s="76"/>
      <c r="J48" s="76"/>
      <c r="K48" s="76"/>
      <c r="L48" s="76"/>
    </row>
  </sheetData>
  <sheetProtection selectLockedCells="1" formatCells="0" formatColumns="0" formatRows="0"/>
  <mergeCells count="126">
    <mergeCell ref="A1:I1"/>
    <mergeCell ref="A2:I2"/>
    <mergeCell ref="A3:I3"/>
    <mergeCell ref="A5:G5"/>
    <mergeCell ref="A6:I6"/>
    <mergeCell ref="A8:G8"/>
    <mergeCell ref="A9:B9"/>
    <mergeCell ref="C9:D9"/>
    <mergeCell ref="E9:F9"/>
    <mergeCell ref="G9:H9"/>
    <mergeCell ref="K9:L9"/>
    <mergeCell ref="A10:B10"/>
    <mergeCell ref="C10:D10"/>
    <mergeCell ref="E10:F10"/>
    <mergeCell ref="G10:H10"/>
    <mergeCell ref="K10:L10"/>
    <mergeCell ref="A11:B11"/>
    <mergeCell ref="C11:D11"/>
    <mergeCell ref="A12:B12"/>
    <mergeCell ref="C12:D12"/>
    <mergeCell ref="E12:F12"/>
    <mergeCell ref="G12:H12"/>
    <mergeCell ref="A13:B13"/>
    <mergeCell ref="C13:D13"/>
    <mergeCell ref="E13:F13"/>
    <mergeCell ref="G13:H13"/>
    <mergeCell ref="C14:D14"/>
    <mergeCell ref="E14:F14"/>
    <mergeCell ref="G14:H14"/>
    <mergeCell ref="K14:L14"/>
    <mergeCell ref="E15:F15"/>
    <mergeCell ref="G15:H15"/>
    <mergeCell ref="A16:B16"/>
    <mergeCell ref="E16:F16"/>
    <mergeCell ref="A18:G18"/>
    <mergeCell ref="B19:E19"/>
    <mergeCell ref="F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A40:B40"/>
    <mergeCell ref="C40:D40"/>
    <mergeCell ref="E40:F40"/>
    <mergeCell ref="G40:H40"/>
    <mergeCell ref="A41:B41"/>
    <mergeCell ref="C41:D41"/>
    <mergeCell ref="A45:I45"/>
    <mergeCell ref="A46:I46"/>
    <mergeCell ref="A43:H44"/>
  </mergeCells>
  <printOptions horizontalCentered="1"/>
  <pageMargins left="0.708333333333333" right="0.708333333333333" top="0.747916666666667" bottom="0.747916666666667" header="0.314583333333333" footer="0.314583333333333"/>
  <pageSetup paperSize="9" scale="99" fitToHeight="0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view="pageBreakPreview" zoomScaleNormal="100" topLeftCell="A12" workbookViewId="0">
      <selection activeCell="A44" sqref="A44:I44"/>
    </sheetView>
  </sheetViews>
  <sheetFormatPr defaultColWidth="9.10185185185185" defaultRowHeight="14.4"/>
  <cols>
    <col min="1" max="1" width="9" style="76" customWidth="1"/>
    <col min="2" max="2" width="8.77777777777778" style="76" customWidth="1"/>
    <col min="3" max="3" width="9.66666666666667" style="76" customWidth="1"/>
    <col min="4" max="4" width="9.55555555555556" style="76" customWidth="1"/>
    <col min="5" max="5" width="9.33333333333333" style="76" customWidth="1"/>
    <col min="6" max="6" width="10.1111111111111" style="76" customWidth="1"/>
    <col min="7" max="12" width="11" style="76" customWidth="1"/>
    <col min="13" max="13" width="9.10185185185185" style="76"/>
    <col min="14" max="14" width="14.1111111111111" style="76"/>
    <col min="15" max="16" width="9.10185185185185" style="76"/>
    <col min="17" max="17" width="10.7777777777778" style="76" customWidth="1"/>
    <col min="18" max="18" width="12.8888888888889" style="76" customWidth="1"/>
    <col min="19" max="19" width="14.1111111111111" style="76" customWidth="1"/>
    <col min="20" max="20" width="10.7777777777778" style="76" customWidth="1"/>
    <col min="21" max="16384" width="9.10185185185185" style="76"/>
  </cols>
  <sheetData>
    <row r="1" s="45" customFormat="1" ht="34.95" customHeight="1" spans="1:12">
      <c r="A1" s="80" t="s">
        <v>196</v>
      </c>
      <c r="B1" s="80"/>
      <c r="C1" s="80"/>
      <c r="D1" s="80"/>
      <c r="E1" s="80"/>
      <c r="F1" s="80"/>
      <c r="G1" s="80"/>
      <c r="H1" s="80"/>
      <c r="I1" s="80"/>
      <c r="J1" s="138"/>
      <c r="K1" s="138"/>
      <c r="L1" s="138"/>
    </row>
    <row r="2" ht="30" customHeight="1" spans="1:12">
      <c r="A2" s="81" t="s">
        <v>161</v>
      </c>
      <c r="B2" s="81"/>
      <c r="C2" s="81"/>
      <c r="D2" s="81"/>
      <c r="E2" s="81"/>
      <c r="F2" s="81"/>
      <c r="G2" s="81"/>
      <c r="H2" s="81"/>
      <c r="I2" s="81"/>
      <c r="J2" s="139"/>
      <c r="K2" s="139"/>
      <c r="L2" s="139"/>
    </row>
    <row r="3" ht="61" customHeight="1" spans="1:12">
      <c r="A3" s="83" t="s">
        <v>197</v>
      </c>
      <c r="B3" s="83"/>
      <c r="C3" s="83"/>
      <c r="D3" s="83"/>
      <c r="E3" s="83"/>
      <c r="F3" s="83"/>
      <c r="G3" s="83"/>
      <c r="H3" s="83"/>
      <c r="I3" s="83"/>
      <c r="J3" s="140"/>
      <c r="K3" s="140"/>
      <c r="L3" s="140"/>
    </row>
    <row r="4" ht="8" customHeight="1" spans="1:1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="45" customFormat="1" ht="16" customHeight="1" spans="1:7">
      <c r="A5" s="84" t="s">
        <v>77</v>
      </c>
      <c r="B5" s="84"/>
      <c r="C5" s="84"/>
      <c r="D5" s="84"/>
      <c r="E5" s="84"/>
      <c r="F5" s="84"/>
      <c r="G5" s="84"/>
    </row>
    <row r="6" ht="23" customHeight="1" spans="1:12">
      <c r="A6" s="83" t="s">
        <v>198</v>
      </c>
      <c r="B6" s="83"/>
      <c r="C6" s="83"/>
      <c r="D6" s="83"/>
      <c r="E6" s="83"/>
      <c r="F6" s="83"/>
      <c r="G6" s="83"/>
      <c r="H6" s="83"/>
      <c r="I6" s="83"/>
      <c r="J6" s="140"/>
      <c r="K6" s="140"/>
      <c r="L6" s="140"/>
    </row>
    <row r="7" ht="9" customHeight="1" spans="1:7">
      <c r="A7" s="83"/>
      <c r="B7" s="83"/>
      <c r="C7" s="83"/>
      <c r="D7" s="83"/>
      <c r="E7" s="83"/>
      <c r="F7" s="83"/>
      <c r="G7" s="83"/>
    </row>
    <row r="8" s="45" customFormat="1" ht="24" customHeight="1" spans="1:7">
      <c r="A8" s="84" t="s">
        <v>79</v>
      </c>
      <c r="B8" s="84"/>
      <c r="C8" s="84"/>
      <c r="D8" s="84"/>
      <c r="E8" s="84"/>
      <c r="F8" s="84"/>
      <c r="G8" s="84"/>
    </row>
    <row r="9" s="45" customFormat="1" ht="17" customHeight="1" spans="1:12">
      <c r="A9" s="85" t="s">
        <v>36</v>
      </c>
      <c r="B9" s="85"/>
      <c r="C9" s="85" t="str">
        <f>结果汇总!B3</f>
        <v>乙肝表面抗原（HBsAg）</v>
      </c>
      <c r="D9" s="85"/>
      <c r="E9" s="86" t="s">
        <v>37</v>
      </c>
      <c r="F9" s="86"/>
      <c r="G9" s="85" t="str">
        <f>结果汇总!G3</f>
        <v>e601</v>
      </c>
      <c r="H9" s="85"/>
      <c r="I9" s="141"/>
      <c r="J9" s="141"/>
      <c r="K9" s="142"/>
      <c r="L9" s="142"/>
    </row>
    <row r="10" s="45" customFormat="1" ht="17" customHeight="1" spans="1:12">
      <c r="A10" s="87" t="s">
        <v>38</v>
      </c>
      <c r="B10" s="87"/>
      <c r="C10" s="87" t="str">
        <f>结果汇总!B4</f>
        <v>电化学发光法</v>
      </c>
      <c r="D10" s="87"/>
      <c r="E10" s="88" t="s">
        <v>40</v>
      </c>
      <c r="F10" s="88"/>
      <c r="G10" s="87" t="str">
        <f>结果汇总!G4</f>
        <v>MHZYY-JYK-SM-1016</v>
      </c>
      <c r="H10" s="87"/>
      <c r="I10" s="141"/>
      <c r="J10" s="141"/>
      <c r="K10" s="142"/>
      <c r="L10" s="142"/>
    </row>
    <row r="11" s="45" customFormat="1" ht="17" customHeight="1" spans="1:12">
      <c r="A11" s="87" t="s">
        <v>82</v>
      </c>
      <c r="B11" s="87"/>
      <c r="C11" s="87" t="str">
        <f>结果汇总!B5</f>
        <v>COI</v>
      </c>
      <c r="D11" s="87"/>
      <c r="E11" s="157"/>
      <c r="F11" s="157"/>
      <c r="G11" s="95"/>
      <c r="H11" s="95"/>
      <c r="I11" s="141"/>
      <c r="J11" s="141"/>
      <c r="K11" s="142"/>
      <c r="L11" s="142"/>
    </row>
    <row r="12" s="45" customFormat="1" ht="17" customHeight="1" spans="1:12">
      <c r="A12" s="90" t="s">
        <v>43</v>
      </c>
      <c r="B12" s="90"/>
      <c r="C12" s="87" t="str">
        <f>结果汇总!B6</f>
        <v>罗氏乙肝表面抗原测定试剂盒</v>
      </c>
      <c r="D12" s="87"/>
      <c r="E12" s="87" t="s">
        <v>45</v>
      </c>
      <c r="F12" s="87"/>
      <c r="G12" s="87">
        <f>结果汇总!G6</f>
        <v>812808</v>
      </c>
      <c r="H12" s="87"/>
      <c r="I12" s="141"/>
      <c r="J12" s="141"/>
      <c r="K12" s="142"/>
      <c r="L12" s="142"/>
    </row>
    <row r="13" s="45" customFormat="1" ht="17" customHeight="1" spans="1:12">
      <c r="A13" s="90" t="s">
        <v>46</v>
      </c>
      <c r="B13" s="90"/>
      <c r="C13" s="87" t="str">
        <f>结果汇总!B7</f>
        <v>罗氏试剂盒自带校准品</v>
      </c>
      <c r="D13" s="87"/>
      <c r="E13" s="87" t="s">
        <v>48</v>
      </c>
      <c r="F13" s="87"/>
      <c r="G13" s="87">
        <f>结果汇总!G7</f>
        <v>812808</v>
      </c>
      <c r="H13" s="87"/>
      <c r="I13" s="141"/>
      <c r="J13" s="141"/>
      <c r="K13" s="142"/>
      <c r="L13" s="142"/>
    </row>
    <row r="14" s="45" customFormat="1" ht="17" customHeight="1" spans="1:12">
      <c r="A14" s="94" t="s">
        <v>199</v>
      </c>
      <c r="B14" s="94"/>
      <c r="C14" s="89" t="s">
        <v>200</v>
      </c>
      <c r="D14" s="89"/>
      <c r="E14" s="158" t="s">
        <v>52</v>
      </c>
      <c r="F14" s="158"/>
      <c r="G14" s="90" t="str">
        <f>主封面!E32</f>
        <v>金子铮</v>
      </c>
      <c r="H14" s="90"/>
      <c r="I14" s="141"/>
      <c r="J14" s="141"/>
      <c r="K14" s="142"/>
      <c r="L14" s="142"/>
    </row>
    <row r="15" s="45" customFormat="1" ht="17" customHeight="1" spans="1:8">
      <c r="A15" s="95" t="s">
        <v>201</v>
      </c>
      <c r="B15" s="95"/>
      <c r="C15" s="159" t="s">
        <v>202</v>
      </c>
      <c r="D15" s="159"/>
      <c r="E15" s="158" t="s">
        <v>53</v>
      </c>
      <c r="F15" s="158"/>
      <c r="G15" s="90" t="str">
        <f>主封面!E34</f>
        <v>杨静</v>
      </c>
      <c r="H15" s="90"/>
    </row>
    <row r="16" s="45" customFormat="1" ht="17" customHeight="1" spans="1:8">
      <c r="A16" s="98" t="s">
        <v>89</v>
      </c>
      <c r="B16" s="98"/>
      <c r="C16" s="160"/>
      <c r="D16" s="161"/>
      <c r="E16" s="162"/>
      <c r="F16" s="162"/>
      <c r="G16" s="163"/>
      <c r="H16" s="163"/>
    </row>
    <row r="17" s="45" customFormat="1" ht="15" customHeight="1" spans="1:7">
      <c r="A17" s="101"/>
      <c r="B17" s="101"/>
      <c r="C17" s="101"/>
      <c r="D17" s="101"/>
      <c r="E17" s="101"/>
      <c r="F17" s="101"/>
      <c r="G17" s="101"/>
    </row>
    <row r="18" s="45" customFormat="1" ht="19" customHeight="1" spans="1:7">
      <c r="A18" s="84" t="s">
        <v>169</v>
      </c>
      <c r="B18" s="84"/>
      <c r="C18" s="84"/>
      <c r="D18" s="84"/>
      <c r="E18" s="84"/>
      <c r="F18" s="84"/>
      <c r="G18" s="84"/>
    </row>
    <row r="19" s="45" customFormat="1" ht="15" customHeight="1" spans="1:9">
      <c r="A19" s="33" t="s">
        <v>170</v>
      </c>
      <c r="B19" s="164" t="s">
        <v>203</v>
      </c>
      <c r="C19" s="164"/>
      <c r="D19" s="165" t="s">
        <v>204</v>
      </c>
      <c r="E19" s="165"/>
      <c r="F19" s="34" t="s">
        <v>172</v>
      </c>
      <c r="G19" s="34"/>
      <c r="H19" s="34"/>
      <c r="I19" s="34"/>
    </row>
    <row r="20" s="45" customFormat="1" ht="13" customHeight="1" spans="1:9">
      <c r="A20" s="35">
        <v>1</v>
      </c>
      <c r="B20" s="166" t="s">
        <v>205</v>
      </c>
      <c r="C20" s="167"/>
      <c r="D20" s="166" t="s">
        <v>206</v>
      </c>
      <c r="E20" s="167"/>
      <c r="F20" s="168">
        <v>1.16</v>
      </c>
      <c r="G20" s="168"/>
      <c r="H20" s="58" t="s">
        <v>184</v>
      </c>
      <c r="I20" s="58"/>
    </row>
    <row r="21" s="45" customFormat="1" ht="13" customHeight="1" spans="1:9">
      <c r="A21" s="35">
        <v>2</v>
      </c>
      <c r="B21" s="167"/>
      <c r="C21" s="167"/>
      <c r="D21" s="167"/>
      <c r="E21" s="167"/>
      <c r="F21" s="168">
        <v>1.13</v>
      </c>
      <c r="G21" s="168"/>
      <c r="H21" s="58" t="s">
        <v>184</v>
      </c>
      <c r="I21" s="58"/>
    </row>
    <row r="22" s="45" customFormat="1" ht="13" customHeight="1" spans="1:9">
      <c r="A22" s="35">
        <v>3</v>
      </c>
      <c r="B22" s="167"/>
      <c r="C22" s="167"/>
      <c r="D22" s="167"/>
      <c r="E22" s="167"/>
      <c r="F22" s="168">
        <v>1.2</v>
      </c>
      <c r="G22" s="168"/>
      <c r="H22" s="58" t="s">
        <v>184</v>
      </c>
      <c r="I22" s="58"/>
    </row>
    <row r="23" s="45" customFormat="1" ht="13" customHeight="1" spans="1:9">
      <c r="A23" s="35">
        <v>4</v>
      </c>
      <c r="B23" s="167"/>
      <c r="C23" s="167"/>
      <c r="D23" s="167"/>
      <c r="E23" s="167"/>
      <c r="F23" s="168">
        <v>1.15</v>
      </c>
      <c r="G23" s="168"/>
      <c r="H23" s="58" t="s">
        <v>184</v>
      </c>
      <c r="I23" s="58"/>
    </row>
    <row r="24" s="45" customFormat="1" ht="13" customHeight="1" spans="1:9">
      <c r="A24" s="35">
        <v>5</v>
      </c>
      <c r="B24" s="167"/>
      <c r="C24" s="167"/>
      <c r="D24" s="167"/>
      <c r="E24" s="167"/>
      <c r="F24" s="168">
        <v>1.28</v>
      </c>
      <c r="G24" s="168"/>
      <c r="H24" s="58" t="s">
        <v>184</v>
      </c>
      <c r="I24" s="58"/>
    </row>
    <row r="25" s="45" customFormat="1" ht="13" customHeight="1" spans="1:9">
      <c r="A25" s="35">
        <v>6</v>
      </c>
      <c r="B25" s="167"/>
      <c r="C25" s="167"/>
      <c r="D25" s="167"/>
      <c r="E25" s="167"/>
      <c r="F25" s="168">
        <v>1.25</v>
      </c>
      <c r="G25" s="168"/>
      <c r="H25" s="58" t="s">
        <v>184</v>
      </c>
      <c r="I25" s="58"/>
    </row>
    <row r="26" s="45" customFormat="1" ht="13" customHeight="1" spans="1:9">
      <c r="A26" s="35">
        <v>7</v>
      </c>
      <c r="B26" s="167"/>
      <c r="C26" s="167"/>
      <c r="D26" s="167"/>
      <c r="E26" s="167"/>
      <c r="F26" s="168">
        <v>1.18</v>
      </c>
      <c r="G26" s="168"/>
      <c r="H26" s="58" t="s">
        <v>184</v>
      </c>
      <c r="I26" s="58"/>
    </row>
    <row r="27" s="45" customFormat="1" ht="13" customHeight="1" spans="1:9">
      <c r="A27" s="35">
        <v>8</v>
      </c>
      <c r="B27" s="167"/>
      <c r="C27" s="167"/>
      <c r="D27" s="167"/>
      <c r="E27" s="167"/>
      <c r="F27" s="168">
        <v>1.19</v>
      </c>
      <c r="G27" s="168"/>
      <c r="H27" s="58" t="s">
        <v>184</v>
      </c>
      <c r="I27" s="58"/>
    </row>
    <row r="28" s="45" customFormat="1" ht="13" customHeight="1" spans="1:9">
      <c r="A28" s="35">
        <v>9</v>
      </c>
      <c r="B28" s="167"/>
      <c r="C28" s="167"/>
      <c r="D28" s="167"/>
      <c r="E28" s="167"/>
      <c r="F28" s="168">
        <v>1.25</v>
      </c>
      <c r="G28" s="168"/>
      <c r="H28" s="58" t="s">
        <v>184</v>
      </c>
      <c r="I28" s="58"/>
    </row>
    <row r="29" s="45" customFormat="1" ht="13" customHeight="1" spans="1:9">
      <c r="A29" s="35">
        <v>10</v>
      </c>
      <c r="B29" s="167"/>
      <c r="C29" s="167"/>
      <c r="D29" s="167"/>
      <c r="E29" s="167"/>
      <c r="F29" s="168">
        <v>1.24</v>
      </c>
      <c r="G29" s="168"/>
      <c r="H29" s="58" t="s">
        <v>184</v>
      </c>
      <c r="I29" s="58"/>
    </row>
    <row r="30" s="45" customFormat="1" ht="13" customHeight="1" spans="1:9">
      <c r="A30" s="35">
        <v>11</v>
      </c>
      <c r="B30" s="167"/>
      <c r="C30" s="167"/>
      <c r="D30" s="167"/>
      <c r="E30" s="167"/>
      <c r="F30" s="168">
        <v>1.21</v>
      </c>
      <c r="G30" s="168"/>
      <c r="H30" s="58" t="s">
        <v>184</v>
      </c>
      <c r="I30" s="58"/>
    </row>
    <row r="31" s="45" customFormat="1" ht="13" customHeight="1" spans="1:9">
      <c r="A31" s="35">
        <v>12</v>
      </c>
      <c r="B31" s="167"/>
      <c r="C31" s="167"/>
      <c r="D31" s="167"/>
      <c r="E31" s="167"/>
      <c r="F31" s="168">
        <v>1.08</v>
      </c>
      <c r="G31" s="168"/>
      <c r="H31" s="58" t="s">
        <v>184</v>
      </c>
      <c r="I31" s="58"/>
    </row>
    <row r="32" s="45" customFormat="1" ht="13" customHeight="1" spans="1:9">
      <c r="A32" s="35">
        <v>13</v>
      </c>
      <c r="B32" s="167"/>
      <c r="C32" s="167"/>
      <c r="D32" s="167"/>
      <c r="E32" s="167"/>
      <c r="F32" s="168">
        <v>1.11</v>
      </c>
      <c r="G32" s="168"/>
      <c r="H32" s="58" t="s">
        <v>184</v>
      </c>
      <c r="I32" s="58"/>
    </row>
    <row r="33" s="45" customFormat="1" ht="13" customHeight="1" spans="1:9">
      <c r="A33" s="35">
        <v>14</v>
      </c>
      <c r="B33" s="167"/>
      <c r="C33" s="167"/>
      <c r="D33" s="167"/>
      <c r="E33" s="167"/>
      <c r="F33" s="168">
        <v>1.1</v>
      </c>
      <c r="G33" s="168"/>
      <c r="H33" s="58" t="s">
        <v>184</v>
      </c>
      <c r="I33" s="58"/>
    </row>
    <row r="34" s="45" customFormat="1" ht="13" customHeight="1" spans="1:9">
      <c r="A34" s="35">
        <v>15</v>
      </c>
      <c r="B34" s="167"/>
      <c r="C34" s="167"/>
      <c r="D34" s="167"/>
      <c r="E34" s="167"/>
      <c r="F34" s="168">
        <v>1.02</v>
      </c>
      <c r="G34" s="168"/>
      <c r="H34" s="58" t="s">
        <v>184</v>
      </c>
      <c r="I34" s="58"/>
    </row>
    <row r="35" s="45" customFormat="1" ht="13" customHeight="1" spans="1:9">
      <c r="A35" s="35">
        <v>16</v>
      </c>
      <c r="B35" s="167"/>
      <c r="C35" s="167"/>
      <c r="D35" s="167"/>
      <c r="E35" s="167"/>
      <c r="F35" s="168">
        <v>1.25</v>
      </c>
      <c r="G35" s="168"/>
      <c r="H35" s="58" t="s">
        <v>184</v>
      </c>
      <c r="I35" s="58"/>
    </row>
    <row r="36" s="45" customFormat="1" ht="13" customHeight="1" spans="1:9">
      <c r="A36" s="35">
        <v>17</v>
      </c>
      <c r="B36" s="167"/>
      <c r="C36" s="167"/>
      <c r="D36" s="167"/>
      <c r="E36" s="167"/>
      <c r="F36" s="168">
        <v>1.1</v>
      </c>
      <c r="G36" s="168"/>
      <c r="H36" s="58" t="s">
        <v>184</v>
      </c>
      <c r="I36" s="58"/>
    </row>
    <row r="37" s="45" customFormat="1" ht="13" customHeight="1" spans="1:9">
      <c r="A37" s="35">
        <v>18</v>
      </c>
      <c r="B37" s="167"/>
      <c r="C37" s="167"/>
      <c r="D37" s="167"/>
      <c r="E37" s="167"/>
      <c r="F37" s="168">
        <v>1.14</v>
      </c>
      <c r="G37" s="168"/>
      <c r="H37" s="58" t="s">
        <v>184</v>
      </c>
      <c r="I37" s="58"/>
    </row>
    <row r="38" s="45" customFormat="1" ht="13" customHeight="1" spans="1:9">
      <c r="A38" s="35">
        <v>19</v>
      </c>
      <c r="B38" s="167"/>
      <c r="C38" s="167"/>
      <c r="D38" s="167"/>
      <c r="E38" s="167"/>
      <c r="F38" s="168">
        <v>1.12</v>
      </c>
      <c r="G38" s="168"/>
      <c r="H38" s="58" t="s">
        <v>184</v>
      </c>
      <c r="I38" s="58"/>
    </row>
    <row r="39" s="45" customFormat="1" ht="13" customHeight="1" spans="1:9">
      <c r="A39" s="43">
        <v>20</v>
      </c>
      <c r="B39" s="169"/>
      <c r="C39" s="169"/>
      <c r="D39" s="170"/>
      <c r="E39" s="170"/>
      <c r="F39" s="171">
        <v>1.15</v>
      </c>
      <c r="G39" s="171"/>
      <c r="H39" s="66" t="s">
        <v>184</v>
      </c>
      <c r="I39" s="66"/>
    </row>
    <row r="40" s="45" customFormat="1" ht="21" customHeight="1" spans="1:8">
      <c r="A40" s="102" t="s">
        <v>207</v>
      </c>
      <c r="B40" s="102"/>
      <c r="C40" s="172">
        <v>1</v>
      </c>
      <c r="D40" s="54"/>
      <c r="E40" s="89"/>
      <c r="F40" s="89"/>
      <c r="G40" s="172"/>
      <c r="H40" s="54"/>
    </row>
    <row r="41" s="45" customFormat="1" ht="13" customHeight="1" spans="1:8">
      <c r="A41" s="102"/>
      <c r="B41" s="102"/>
      <c r="C41" s="172"/>
      <c r="D41" s="54"/>
      <c r="E41" s="89"/>
      <c r="F41" s="89"/>
      <c r="G41" s="172"/>
      <c r="H41" s="54"/>
    </row>
    <row r="42" s="45" customFormat="1" ht="20" customHeight="1" spans="1:12">
      <c r="A42" s="105" t="s">
        <v>92</v>
      </c>
      <c r="B42" s="105"/>
      <c r="C42" s="105"/>
      <c r="D42" s="105"/>
      <c r="E42" s="105"/>
      <c r="F42" s="105"/>
      <c r="G42" s="105"/>
      <c r="H42" s="105"/>
      <c r="I42" s="143"/>
      <c r="J42" s="143"/>
      <c r="K42" s="143"/>
      <c r="L42" s="143"/>
    </row>
    <row r="43" s="45" customFormat="1" ht="21" hidden="1" customHeight="1" spans="1:12">
      <c r="A43" s="105"/>
      <c r="B43" s="105"/>
      <c r="C43" s="105"/>
      <c r="D43" s="105"/>
      <c r="E43" s="105"/>
      <c r="F43" s="105"/>
      <c r="G43" s="105"/>
      <c r="H43" s="105"/>
      <c r="I43" s="143"/>
      <c r="J43" s="143"/>
      <c r="K43" s="143"/>
      <c r="L43" s="143"/>
    </row>
    <row r="44" s="45" customFormat="1" ht="20" customHeight="1" spans="1:9">
      <c r="A44" s="173" t="s">
        <v>208</v>
      </c>
      <c r="B44" s="173"/>
      <c r="C44" s="173"/>
      <c r="D44" s="173"/>
      <c r="E44" s="173"/>
      <c r="F44" s="173"/>
      <c r="G44" s="173"/>
      <c r="H44" s="173"/>
      <c r="I44" s="173"/>
    </row>
    <row r="45" s="45" customFormat="1" ht="20" customHeight="1" spans="1:9">
      <c r="A45" s="89" t="s">
        <v>71</v>
      </c>
      <c r="B45" s="89"/>
      <c r="C45" s="89"/>
      <c r="D45" s="89"/>
      <c r="E45" s="89"/>
      <c r="F45" s="89"/>
      <c r="G45" s="89"/>
      <c r="H45" s="89"/>
      <c r="I45" s="89"/>
    </row>
    <row r="46" s="45" customFormat="1" ht="21" customHeight="1" spans="2:12">
      <c r="B46" s="120"/>
      <c r="C46" s="120"/>
      <c r="D46" s="120"/>
      <c r="E46" s="120"/>
      <c r="F46" s="120"/>
      <c r="J46" s="112"/>
      <c r="K46" s="112"/>
      <c r="L46" s="112"/>
    </row>
    <row r="47" customFormat="1" spans="1:12">
      <c r="A47" s="76"/>
      <c r="B47" s="76"/>
      <c r="C47" s="76"/>
      <c r="D47" s="76"/>
      <c r="E47" s="76"/>
      <c r="F47" s="76"/>
      <c r="J47" s="76"/>
      <c r="K47" s="76"/>
      <c r="L47" s="76"/>
    </row>
  </sheetData>
  <sheetProtection selectLockedCells="1" formatCells="0" formatColumns="0" formatRows="0"/>
  <mergeCells count="86">
    <mergeCell ref="A1:I1"/>
    <mergeCell ref="A2:I2"/>
    <mergeCell ref="A3:I3"/>
    <mergeCell ref="A5:G5"/>
    <mergeCell ref="A6:I6"/>
    <mergeCell ref="A8:G8"/>
    <mergeCell ref="A9:B9"/>
    <mergeCell ref="C9:D9"/>
    <mergeCell ref="E9:F9"/>
    <mergeCell ref="G9:H9"/>
    <mergeCell ref="K9:L9"/>
    <mergeCell ref="A10:B10"/>
    <mergeCell ref="C10:D10"/>
    <mergeCell ref="E10:F10"/>
    <mergeCell ref="G10:H10"/>
    <mergeCell ref="K10:L10"/>
    <mergeCell ref="A11:B11"/>
    <mergeCell ref="C11:D11"/>
    <mergeCell ref="A12:B12"/>
    <mergeCell ref="C12:D12"/>
    <mergeCell ref="E12:F12"/>
    <mergeCell ref="G12:H12"/>
    <mergeCell ref="A13:B13"/>
    <mergeCell ref="C13:D13"/>
    <mergeCell ref="E13:F13"/>
    <mergeCell ref="G13:H13"/>
    <mergeCell ref="C14:D14"/>
    <mergeCell ref="E14:F14"/>
    <mergeCell ref="G14:H14"/>
    <mergeCell ref="K14:L14"/>
    <mergeCell ref="C15:D15"/>
    <mergeCell ref="E15:F15"/>
    <mergeCell ref="G15:H15"/>
    <mergeCell ref="A16:B16"/>
    <mergeCell ref="A18:G18"/>
    <mergeCell ref="D19:E19"/>
    <mergeCell ref="F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A40:B40"/>
    <mergeCell ref="C40:D40"/>
    <mergeCell ref="E40:F40"/>
    <mergeCell ref="G40:H40"/>
    <mergeCell ref="A44:I44"/>
    <mergeCell ref="A45:I45"/>
    <mergeCell ref="B20:C39"/>
    <mergeCell ref="D20:E39"/>
    <mergeCell ref="A42:H43"/>
  </mergeCells>
  <printOptions horizontalCentered="1"/>
  <pageMargins left="0.708333333333333" right="0.708333333333333" top="0.747916666666667" bottom="0.747916666666667" header="0.314583333333333" footer="0.314583333333333"/>
  <pageSetup paperSize="9" scale="99" fitToHeight="0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9"/>
  <sheetViews>
    <sheetView topLeftCell="A49" workbookViewId="0">
      <selection activeCell="I73" sqref="I73"/>
    </sheetView>
  </sheetViews>
  <sheetFormatPr defaultColWidth="9.10185185185185" defaultRowHeight="14.4"/>
  <cols>
    <col min="1" max="1" width="11.3333333333333" style="76" customWidth="1"/>
    <col min="2" max="2" width="8.77777777777778" style="76" customWidth="1"/>
    <col min="3" max="3" width="10.7777777777778" style="76" customWidth="1"/>
    <col min="4" max="4" width="9.55555555555556" style="76" customWidth="1"/>
    <col min="5" max="5" width="9.33333333333333" style="76" customWidth="1"/>
    <col min="6" max="6" width="10.1111111111111" style="76" customWidth="1"/>
    <col min="7" max="11" width="11" style="76" customWidth="1"/>
    <col min="12" max="12" width="9.10185185185185" style="76"/>
    <col min="13" max="13" width="14.1111111111111" style="76"/>
    <col min="14" max="15" width="9.10185185185185" style="76"/>
    <col min="16" max="16" width="10.7777777777778" style="76" customWidth="1"/>
    <col min="17" max="17" width="12.8888888888889" style="76" customWidth="1"/>
    <col min="18" max="18" width="14.1111111111111" style="76" customWidth="1"/>
    <col min="19" max="19" width="10.7777777777778" style="76" customWidth="1"/>
    <col min="20" max="16384" width="9.10185185185185" style="76"/>
  </cols>
  <sheetData>
    <row r="1" s="45" customFormat="1" ht="34.95" customHeight="1" spans="1:11">
      <c r="A1" s="80" t="s">
        <v>209</v>
      </c>
      <c r="B1" s="80"/>
      <c r="C1" s="80"/>
      <c r="D1" s="80"/>
      <c r="E1" s="80"/>
      <c r="F1" s="80"/>
      <c r="G1" s="80"/>
      <c r="H1" s="80"/>
      <c r="I1" s="138"/>
      <c r="J1" s="138"/>
      <c r="K1" s="138"/>
    </row>
    <row r="2" s="76" customFormat="1" ht="71" customHeight="1" spans="1:11">
      <c r="A2" s="81" t="s">
        <v>210</v>
      </c>
      <c r="B2" s="81"/>
      <c r="C2" s="81"/>
      <c r="D2" s="81"/>
      <c r="E2" s="81"/>
      <c r="F2" s="81"/>
      <c r="G2" s="81"/>
      <c r="H2" s="81"/>
      <c r="I2" s="139"/>
      <c r="J2" s="139"/>
      <c r="K2" s="139"/>
    </row>
    <row r="3" s="76" customFormat="1" ht="85" customHeight="1" spans="1:11">
      <c r="A3" s="82" t="s">
        <v>211</v>
      </c>
      <c r="B3" s="82"/>
      <c r="C3" s="82"/>
      <c r="D3" s="82"/>
      <c r="E3" s="82"/>
      <c r="F3" s="82"/>
      <c r="G3" s="82"/>
      <c r="H3" s="82"/>
      <c r="I3" s="140"/>
      <c r="J3" s="140"/>
      <c r="K3" s="140"/>
    </row>
    <row r="4" s="76" customFormat="1" ht="15" customHeight="1" spans="1:1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</row>
    <row r="5" s="45" customFormat="1" ht="25" customHeight="1" spans="1:7">
      <c r="A5" s="84" t="s">
        <v>77</v>
      </c>
      <c r="B5" s="84"/>
      <c r="C5" s="84"/>
      <c r="D5" s="84"/>
      <c r="E5" s="84"/>
      <c r="F5" s="84"/>
      <c r="G5" s="84"/>
    </row>
    <row r="6" s="76" customFormat="1" ht="66" customHeight="1" spans="1:11">
      <c r="A6" s="82" t="s">
        <v>212</v>
      </c>
      <c r="B6" s="82"/>
      <c r="C6" s="82"/>
      <c r="D6" s="82"/>
      <c r="E6" s="82"/>
      <c r="F6" s="82"/>
      <c r="G6" s="82"/>
      <c r="H6" s="82"/>
      <c r="I6" s="140"/>
      <c r="J6" s="140"/>
      <c r="K6" s="140"/>
    </row>
    <row r="7" s="76" customFormat="1" ht="15" customHeight="1" spans="1:7">
      <c r="A7" s="83"/>
      <c r="B7" s="83"/>
      <c r="C7" s="83"/>
      <c r="D7" s="83"/>
      <c r="E7" s="83"/>
      <c r="F7" s="83"/>
      <c r="G7" s="83"/>
    </row>
    <row r="8" s="45" customFormat="1" ht="24" customHeight="1" spans="1:7">
      <c r="A8" s="84" t="s">
        <v>79</v>
      </c>
      <c r="B8" s="84"/>
      <c r="C8" s="84"/>
      <c r="D8" s="84"/>
      <c r="E8" s="84"/>
      <c r="F8" s="84"/>
      <c r="G8" s="84"/>
    </row>
    <row r="9" s="45" customFormat="1" ht="17" customHeight="1" spans="1:11">
      <c r="A9" s="85" t="s">
        <v>36</v>
      </c>
      <c r="B9" s="85"/>
      <c r="C9" s="85" t="str">
        <f>[1]结果汇总!B3</f>
        <v>降钙素（CT）</v>
      </c>
      <c r="D9" s="85"/>
      <c r="E9" s="86" t="s">
        <v>37</v>
      </c>
      <c r="F9" s="86"/>
      <c r="G9" s="85" t="str">
        <f>[1]结果汇总!G3</f>
        <v>DXI800急诊</v>
      </c>
      <c r="H9" s="85"/>
      <c r="I9" s="141"/>
      <c r="J9" s="142"/>
      <c r="K9" s="142"/>
    </row>
    <row r="10" s="45" customFormat="1" ht="17" customHeight="1" spans="1:11">
      <c r="A10" s="87" t="s">
        <v>38</v>
      </c>
      <c r="B10" s="87"/>
      <c r="C10" s="87" t="str">
        <f>[1]结果汇总!B4</f>
        <v>化学发光法</v>
      </c>
      <c r="D10" s="87"/>
      <c r="E10" s="88" t="s">
        <v>40</v>
      </c>
      <c r="F10" s="88"/>
      <c r="G10" s="87" t="str">
        <f>[1]结果汇总!G4</f>
        <v>MHZYY-JYK-SM-1006</v>
      </c>
      <c r="H10" s="87"/>
      <c r="I10" s="141"/>
      <c r="J10" s="142"/>
      <c r="K10" s="142"/>
    </row>
    <row r="11" s="45" customFormat="1" ht="17" customHeight="1" spans="1:11">
      <c r="A11" s="87" t="s">
        <v>82</v>
      </c>
      <c r="B11" s="87"/>
      <c r="C11" s="87" t="str">
        <f>[1]结果汇总!B5</f>
        <v>ng/L</v>
      </c>
      <c r="D11" s="87"/>
      <c r="E11" s="89" t="s">
        <v>213</v>
      </c>
      <c r="F11" s="89"/>
      <c r="G11" s="89" t="s">
        <v>214</v>
      </c>
      <c r="H11" s="89"/>
      <c r="I11" s="141"/>
      <c r="J11" s="142"/>
      <c r="K11" s="142"/>
    </row>
    <row r="12" s="45" customFormat="1" ht="17" customHeight="1" spans="1:11">
      <c r="A12" s="90" t="s">
        <v>43</v>
      </c>
      <c r="B12" s="90"/>
      <c r="C12" s="91" t="str">
        <f>[1]结果汇总!B6</f>
        <v>沃文特降钙素测定试剂盒</v>
      </c>
      <c r="D12" s="91"/>
      <c r="E12" s="87" t="s">
        <v>45</v>
      </c>
      <c r="F12" s="87"/>
      <c r="G12" s="87">
        <f>[1]结果汇总!G6</f>
        <v>407421</v>
      </c>
      <c r="H12" s="87"/>
      <c r="I12" s="141"/>
      <c r="J12" s="142"/>
      <c r="K12" s="142"/>
    </row>
    <row r="13" s="45" customFormat="1" ht="17" customHeight="1" spans="1:11">
      <c r="A13" s="90" t="s">
        <v>46</v>
      </c>
      <c r="B13" s="90"/>
      <c r="C13" s="91" t="str">
        <f>[1]结果汇总!B7</f>
        <v>沃文特试剂盒自带校准品</v>
      </c>
      <c r="D13" s="91"/>
      <c r="E13" s="87" t="s">
        <v>48</v>
      </c>
      <c r="F13" s="87"/>
      <c r="G13" s="87">
        <f>[1]结果汇总!G7</f>
        <v>407421</v>
      </c>
      <c r="H13" s="87"/>
      <c r="I13" s="141"/>
      <c r="J13" s="142"/>
      <c r="K13" s="142"/>
    </row>
    <row r="14" s="45" customFormat="1" ht="17" customHeight="1" spans="1:11">
      <c r="A14" s="92" t="s">
        <v>215</v>
      </c>
      <c r="B14" s="92"/>
      <c r="C14" s="92"/>
      <c r="D14" s="93"/>
      <c r="E14" s="94" t="s">
        <v>216</v>
      </c>
      <c r="F14" s="89" t="s">
        <v>87</v>
      </c>
      <c r="G14" s="89">
        <v>684</v>
      </c>
      <c r="H14" s="95" t="s">
        <v>217</v>
      </c>
      <c r="I14" s="141"/>
      <c r="J14" s="142"/>
      <c r="K14" s="142"/>
    </row>
    <row r="15" s="45" customFormat="1" ht="17" customHeight="1" spans="3:11">
      <c r="C15" s="96"/>
      <c r="D15" s="96"/>
      <c r="E15" s="94" t="s">
        <v>218</v>
      </c>
      <c r="F15" s="89" t="s">
        <v>87</v>
      </c>
      <c r="G15" s="89">
        <v>11.3</v>
      </c>
      <c r="H15" s="95" t="s">
        <v>219</v>
      </c>
      <c r="I15" s="141"/>
      <c r="J15" s="142"/>
      <c r="K15" s="142"/>
    </row>
    <row r="16" s="45" customFormat="1" ht="17" customHeight="1" spans="1:11">
      <c r="A16" s="87" t="s">
        <v>84</v>
      </c>
      <c r="B16" s="87"/>
      <c r="C16" s="97">
        <f>IF([1]结果汇总!$G$5="","",[1]结果汇总!$G$5)</f>
        <v>0.3</v>
      </c>
      <c r="D16" s="97"/>
      <c r="E16" s="94" t="s">
        <v>220</v>
      </c>
      <c r="F16" s="89" t="s">
        <v>87</v>
      </c>
      <c r="G16" s="89">
        <v>5</v>
      </c>
      <c r="H16" s="95" t="s">
        <v>221</v>
      </c>
      <c r="I16" s="141"/>
      <c r="J16" s="142"/>
      <c r="K16" s="142"/>
    </row>
    <row r="17" s="45" customFormat="1" ht="17" customHeight="1" spans="1:8">
      <c r="A17" s="89" t="s">
        <v>222</v>
      </c>
      <c r="B17" s="89"/>
      <c r="C17" s="97">
        <f>C16/2</f>
        <v>0.15</v>
      </c>
      <c r="D17" s="97"/>
      <c r="E17" s="88" t="s">
        <v>52</v>
      </c>
      <c r="F17" s="88"/>
      <c r="G17" s="87" t="str">
        <f>[1]主封面!E32</f>
        <v>金子铮</v>
      </c>
      <c r="H17" s="87"/>
    </row>
    <row r="18" s="45" customFormat="1" ht="17" customHeight="1" spans="1:8">
      <c r="A18" s="98" t="s">
        <v>89</v>
      </c>
      <c r="B18" s="98"/>
      <c r="C18" s="99">
        <f>'[1]正确度-偏倚评估'!C21</f>
        <v>45426</v>
      </c>
      <c r="D18" s="98"/>
      <c r="E18" s="100" t="s">
        <v>53</v>
      </c>
      <c r="F18" s="100"/>
      <c r="G18" s="98" t="str">
        <f>[1]主封面!E34</f>
        <v>杨静</v>
      </c>
      <c r="H18" s="98"/>
    </row>
    <row r="19" s="45" customFormat="1" ht="15" customHeight="1" spans="1:7">
      <c r="A19" s="101"/>
      <c r="B19" s="101"/>
      <c r="C19" s="101"/>
      <c r="D19" s="101"/>
      <c r="E19" s="101"/>
      <c r="F19" s="101"/>
      <c r="G19" s="101"/>
    </row>
    <row r="20" s="45" customFormat="1" ht="29" customHeight="1" spans="1:7">
      <c r="A20" s="84" t="s">
        <v>169</v>
      </c>
      <c r="B20" s="84"/>
      <c r="C20" s="84"/>
      <c r="D20" s="84"/>
      <c r="E20" s="84"/>
      <c r="F20" s="84"/>
      <c r="G20" s="84"/>
    </row>
    <row r="21" s="45" customFormat="1" ht="21" customHeight="1" spans="1:8">
      <c r="A21" s="102" t="s">
        <v>91</v>
      </c>
      <c r="B21" s="102"/>
      <c r="C21" s="57"/>
      <c r="D21" s="57"/>
      <c r="E21" s="103"/>
      <c r="F21" s="103"/>
      <c r="G21" s="104"/>
      <c r="H21" s="104"/>
    </row>
    <row r="22" s="45" customFormat="1" ht="11" customHeight="1" spans="1:11">
      <c r="A22" s="105" t="s">
        <v>92</v>
      </c>
      <c r="B22" s="105"/>
      <c r="C22" s="105"/>
      <c r="D22" s="105"/>
      <c r="E22" s="105"/>
      <c r="F22" s="105"/>
      <c r="G22" s="105"/>
      <c r="H22" s="105"/>
      <c r="I22" s="143"/>
      <c r="J22" s="143"/>
      <c r="K22" s="143"/>
    </row>
    <row r="23" s="45" customFormat="1" ht="19" customHeight="1" spans="1:11">
      <c r="A23" s="105"/>
      <c r="B23" s="105"/>
      <c r="C23" s="105"/>
      <c r="D23" s="105"/>
      <c r="E23" s="105"/>
      <c r="F23" s="105"/>
      <c r="G23" s="105"/>
      <c r="H23" s="105"/>
      <c r="I23" s="143"/>
      <c r="J23" s="143"/>
      <c r="K23" s="143"/>
    </row>
    <row r="24" s="45" customFormat="1" ht="51" customHeight="1" spans="1:13">
      <c r="A24" s="56" t="s">
        <v>223</v>
      </c>
      <c r="B24" s="106" t="s">
        <v>216</v>
      </c>
      <c r="C24" s="106"/>
      <c r="D24" s="56" t="s">
        <v>218</v>
      </c>
      <c r="E24" s="56"/>
      <c r="F24" s="56" t="s">
        <v>220</v>
      </c>
      <c r="G24" s="56"/>
      <c r="M24" s="68"/>
    </row>
    <row r="25" s="45" customFormat="1" ht="50" customHeight="1" spans="1:7">
      <c r="A25" s="107" t="s">
        <v>224</v>
      </c>
      <c r="B25" s="66" t="s">
        <v>225</v>
      </c>
      <c r="C25" s="66"/>
      <c r="D25" s="108" t="s">
        <v>226</v>
      </c>
      <c r="E25" s="108"/>
      <c r="F25" s="109" t="s">
        <v>227</v>
      </c>
      <c r="G25" s="109"/>
    </row>
    <row r="26" s="45" customFormat="1" ht="21" customHeight="1" spans="1:11">
      <c r="A26" s="102" t="s">
        <v>228</v>
      </c>
      <c r="B26" s="102"/>
      <c r="C26" s="102"/>
      <c r="D26" s="102"/>
      <c r="E26" s="102"/>
      <c r="F26" s="102"/>
      <c r="G26" s="102"/>
      <c r="H26" s="102"/>
      <c r="I26" s="112"/>
      <c r="J26" s="112"/>
      <c r="K26" s="112"/>
    </row>
    <row r="27" s="45" customFormat="1" ht="21" customHeight="1" spans="1:11">
      <c r="A27" s="110" t="s">
        <v>229</v>
      </c>
      <c r="B27" s="10"/>
      <c r="C27" s="10"/>
      <c r="D27" s="111"/>
      <c r="E27" s="111"/>
      <c r="F27" s="10"/>
      <c r="G27" s="10"/>
      <c r="H27" s="112"/>
      <c r="I27" s="112"/>
      <c r="J27" s="112"/>
      <c r="K27" s="112"/>
    </row>
    <row r="28" s="45" customFormat="1" ht="21" customHeight="1" spans="1:11">
      <c r="A28" s="113" t="s">
        <v>230</v>
      </c>
      <c r="B28" s="113"/>
      <c r="C28" s="113"/>
      <c r="D28" s="113"/>
      <c r="E28" s="113"/>
      <c r="F28" s="113"/>
      <c r="G28" s="113"/>
      <c r="H28" s="113"/>
      <c r="I28" s="112"/>
      <c r="J28" s="112"/>
      <c r="K28" s="112"/>
    </row>
    <row r="29" s="45" customFormat="1" ht="21" customHeight="1" spans="1:11">
      <c r="A29" s="114"/>
      <c r="B29" s="112"/>
      <c r="C29" s="112"/>
      <c r="D29" s="112"/>
      <c r="E29" s="112"/>
      <c r="F29" s="112"/>
      <c r="G29" s="112"/>
      <c r="H29" s="112"/>
      <c r="I29" s="112"/>
      <c r="J29" s="112"/>
      <c r="K29" s="112"/>
    </row>
    <row r="30" s="45" customFormat="1" ht="21" customHeight="1" spans="1:11">
      <c r="A30" s="114"/>
      <c r="B30" s="112"/>
      <c r="C30" s="112"/>
      <c r="D30" s="112"/>
      <c r="E30" s="112"/>
      <c r="F30" s="112"/>
      <c r="G30" s="112"/>
      <c r="H30" s="112"/>
      <c r="I30" s="112"/>
      <c r="J30" s="112"/>
      <c r="K30" s="112"/>
    </row>
    <row r="31" s="45" customFormat="1" ht="20" customHeight="1" spans="1:8">
      <c r="A31" s="115" t="s">
        <v>104</v>
      </c>
      <c r="B31" s="116" t="s">
        <v>231</v>
      </c>
      <c r="C31" s="117"/>
      <c r="D31" s="118" t="s">
        <v>232</v>
      </c>
      <c r="E31" s="119">
        <v>1</v>
      </c>
      <c r="F31" s="19" t="s">
        <v>106</v>
      </c>
      <c r="G31" s="120"/>
      <c r="H31" s="19"/>
    </row>
    <row r="32" s="45" customFormat="1" ht="20" customHeight="1" spans="1:8">
      <c r="A32" s="121" t="s">
        <v>107</v>
      </c>
      <c r="B32" s="122" t="str">
        <f>C9</f>
        <v>降钙素（CT）</v>
      </c>
      <c r="D32" s="118" t="s">
        <v>233</v>
      </c>
      <c r="E32" s="119">
        <v>6</v>
      </c>
      <c r="G32" s="121" t="s">
        <v>234</v>
      </c>
      <c r="H32" s="123">
        <f>C16/4</f>
        <v>0.075</v>
      </c>
    </row>
    <row r="33" s="45" customFormat="1" ht="20" customHeight="1" spans="1:8">
      <c r="A33" s="121" t="s">
        <v>82</v>
      </c>
      <c r="B33" s="124" t="str">
        <f>C11</f>
        <v>ng/L</v>
      </c>
      <c r="C33" s="125"/>
      <c r="D33" s="118" t="s">
        <v>235</v>
      </c>
      <c r="E33" s="119">
        <v>3</v>
      </c>
      <c r="G33" s="121" t="s">
        <v>236</v>
      </c>
      <c r="H33" s="123">
        <f>C16/3</f>
        <v>0.1</v>
      </c>
    </row>
    <row r="34" s="45" customFormat="1" ht="20" customHeight="1" spans="1:8">
      <c r="A34" s="118" t="s">
        <v>237</v>
      </c>
      <c r="B34" s="126">
        <f>C16</f>
        <v>0.3</v>
      </c>
      <c r="D34" s="121" t="s">
        <v>114</v>
      </c>
      <c r="E34" s="127">
        <v>3</v>
      </c>
      <c r="G34" s="121" t="s">
        <v>222</v>
      </c>
      <c r="H34" s="123">
        <f>C17</f>
        <v>0.15</v>
      </c>
    </row>
    <row r="35" s="45" customFormat="1" ht="15" customHeight="1" spans="2:3">
      <c r="B35" s="121"/>
      <c r="C35" s="128"/>
    </row>
    <row r="36" s="45" customFormat="1" ht="21" customHeight="1" spans="1:1">
      <c r="A36" s="57" t="s">
        <v>238</v>
      </c>
    </row>
    <row r="37" s="45" customFormat="1" ht="15" customHeight="1" spans="1:7">
      <c r="A37" s="47" t="s">
        <v>239</v>
      </c>
      <c r="B37" s="48" t="s">
        <v>240</v>
      </c>
      <c r="C37" s="47"/>
      <c r="D37" s="47" t="s">
        <v>241</v>
      </c>
      <c r="E37" s="47"/>
      <c r="F37" s="48" t="s">
        <v>242</v>
      </c>
      <c r="G37" s="47"/>
    </row>
    <row r="38" s="45" customFormat="1" ht="29" customHeight="1" spans="1:7">
      <c r="A38" s="49" t="s">
        <v>243</v>
      </c>
      <c r="B38" s="129" t="s">
        <v>244</v>
      </c>
      <c r="C38" s="129"/>
      <c r="D38" s="130">
        <v>0</v>
      </c>
      <c r="E38" s="130"/>
      <c r="F38" s="129" t="s">
        <v>245</v>
      </c>
      <c r="G38" s="129"/>
    </row>
    <row r="39" s="45" customFormat="1" ht="29" customHeight="1" spans="1:7">
      <c r="A39" s="51" t="s">
        <v>246</v>
      </c>
      <c r="B39" s="52" t="s">
        <v>244</v>
      </c>
      <c r="C39" s="52"/>
      <c r="D39" s="52" t="s">
        <v>245</v>
      </c>
      <c r="E39" s="52"/>
      <c r="F39" s="53">
        <v>0</v>
      </c>
      <c r="G39" s="53"/>
    </row>
    <row r="40" s="45" customFormat="1" ht="15" customHeight="1" spans="1:7">
      <c r="A40" s="58"/>
      <c r="B40" s="58"/>
      <c r="C40" s="58"/>
      <c r="D40" s="58"/>
      <c r="E40" s="58"/>
      <c r="F40" s="58"/>
      <c r="G40" s="131"/>
    </row>
    <row r="41" s="45" customFormat="1" ht="17" customHeight="1" spans="1:7">
      <c r="A41" s="55" t="s">
        <v>247</v>
      </c>
      <c r="B41" s="55"/>
      <c r="C41" s="55" t="s">
        <v>216</v>
      </c>
      <c r="D41" s="55" t="s">
        <v>218</v>
      </c>
      <c r="E41" s="55" t="s">
        <v>220</v>
      </c>
      <c r="F41" s="58"/>
      <c r="G41" s="131"/>
    </row>
    <row r="42" s="45" customFormat="1" ht="17" customHeight="1" spans="1:7">
      <c r="A42" s="56" t="s">
        <v>243</v>
      </c>
      <c r="B42" s="56"/>
      <c r="C42" s="56">
        <v>10</v>
      </c>
      <c r="D42" s="56">
        <v>1.3</v>
      </c>
      <c r="E42" s="56">
        <v>0</v>
      </c>
      <c r="F42" s="58"/>
      <c r="G42" s="131"/>
    </row>
    <row r="43" s="45" customFormat="1" ht="15" customHeight="1" spans="1:7">
      <c r="A43" s="58"/>
      <c r="B43" s="58"/>
      <c r="C43" s="58"/>
      <c r="D43" s="58"/>
      <c r="E43" s="58"/>
      <c r="F43" s="58"/>
      <c r="G43" s="131"/>
    </row>
    <row r="44" s="45" customFormat="1" ht="15" customHeight="1" spans="1:7">
      <c r="A44" s="57" t="s">
        <v>248</v>
      </c>
      <c r="B44" s="58"/>
      <c r="C44" s="58"/>
      <c r="D44" s="58"/>
      <c r="E44" s="58"/>
      <c r="F44" s="58"/>
      <c r="G44" s="131"/>
    </row>
    <row r="45" s="45" customFormat="1" ht="33" customHeight="1" spans="1:8">
      <c r="A45" s="60" t="s">
        <v>249</v>
      </c>
      <c r="B45" s="61" t="s">
        <v>250</v>
      </c>
      <c r="C45" s="61"/>
      <c r="D45" s="61" t="s">
        <v>251</v>
      </c>
      <c r="E45" s="61"/>
      <c r="F45" s="132" t="s">
        <v>252</v>
      </c>
      <c r="G45" s="132" t="s">
        <v>253</v>
      </c>
      <c r="H45" s="132" t="s">
        <v>254</v>
      </c>
    </row>
    <row r="46" s="45" customFormat="1" ht="17" customHeight="1" spans="1:8">
      <c r="A46" s="63">
        <v>1</v>
      </c>
      <c r="B46" s="70">
        <v>0</v>
      </c>
      <c r="C46" s="70"/>
      <c r="D46" s="70">
        <v>1</v>
      </c>
      <c r="E46" s="70"/>
      <c r="F46" s="133">
        <f>C42</f>
        <v>10</v>
      </c>
      <c r="G46" s="133">
        <f>D42</f>
        <v>1.3</v>
      </c>
      <c r="H46" s="58">
        <f>E42</f>
        <v>0</v>
      </c>
    </row>
    <row r="47" s="45" customFormat="1" ht="17" customHeight="1" spans="1:8">
      <c r="A47" s="63">
        <v>2</v>
      </c>
      <c r="B47" s="70">
        <v>0.25</v>
      </c>
      <c r="C47" s="70"/>
      <c r="D47" s="70">
        <v>0.75</v>
      </c>
      <c r="E47" s="70"/>
      <c r="F47" s="133">
        <f t="shared" ref="F47:F49" si="0">$F$50*B47+$F$46*D47</f>
        <v>182.5</v>
      </c>
      <c r="G47" s="133">
        <f t="shared" ref="G47:G49" si="1">$G$50*B47+$G$46*D47</f>
        <v>3.975</v>
      </c>
      <c r="H47" s="58">
        <f t="shared" ref="H47:H49" si="2">$H$50*B47+$H$46*D47</f>
        <v>2</v>
      </c>
    </row>
    <row r="48" s="45" customFormat="1" ht="17" customHeight="1" spans="1:8">
      <c r="A48" s="63">
        <v>3</v>
      </c>
      <c r="B48" s="70">
        <v>0.5</v>
      </c>
      <c r="C48" s="70"/>
      <c r="D48" s="70">
        <v>0.5</v>
      </c>
      <c r="E48" s="70"/>
      <c r="F48" s="133">
        <f t="shared" si="0"/>
        <v>355</v>
      </c>
      <c r="G48" s="133">
        <f t="shared" si="1"/>
        <v>6.65</v>
      </c>
      <c r="H48" s="58">
        <f t="shared" si="2"/>
        <v>4</v>
      </c>
    </row>
    <row r="49" s="45" customFormat="1" ht="17" customHeight="1" spans="1:8">
      <c r="A49" s="63">
        <v>4</v>
      </c>
      <c r="B49" s="70">
        <v>0.75</v>
      </c>
      <c r="C49" s="70"/>
      <c r="D49" s="70">
        <v>0.25</v>
      </c>
      <c r="E49" s="70"/>
      <c r="F49" s="133">
        <f t="shared" si="0"/>
        <v>527.5</v>
      </c>
      <c r="G49" s="133">
        <f t="shared" si="1"/>
        <v>9.325</v>
      </c>
      <c r="H49" s="58">
        <f t="shared" si="2"/>
        <v>6</v>
      </c>
    </row>
    <row r="50" s="45" customFormat="1" ht="17" customHeight="1" spans="1:8">
      <c r="A50" s="65">
        <v>5</v>
      </c>
      <c r="B50" s="134">
        <v>1</v>
      </c>
      <c r="C50" s="134"/>
      <c r="D50" s="134">
        <v>0</v>
      </c>
      <c r="E50" s="134"/>
      <c r="F50" s="135">
        <v>700</v>
      </c>
      <c r="G50" s="135">
        <v>12</v>
      </c>
      <c r="H50" s="66">
        <v>8</v>
      </c>
    </row>
    <row r="51" s="45" customFormat="1" ht="17" customHeight="1" spans="1:7">
      <c r="A51" s="58"/>
      <c r="B51" s="58"/>
      <c r="C51" s="58"/>
      <c r="D51" s="58"/>
      <c r="E51" s="58"/>
      <c r="F51" s="58"/>
      <c r="G51" s="131"/>
    </row>
    <row r="52" s="45" customFormat="1" ht="17" customHeight="1" spans="1:7">
      <c r="A52" s="57"/>
      <c r="B52" s="58"/>
      <c r="C52" s="58"/>
      <c r="D52" s="58"/>
      <c r="E52" s="58"/>
      <c r="F52" s="58"/>
      <c r="G52" s="131"/>
    </row>
    <row r="53" s="45" customFormat="1" ht="17" customHeight="1" spans="1:7">
      <c r="A53" s="57" t="s">
        <v>255</v>
      </c>
      <c r="B53" s="58"/>
      <c r="C53" s="58"/>
      <c r="D53" s="58"/>
      <c r="E53" s="58"/>
      <c r="F53" s="58"/>
      <c r="G53" s="131"/>
    </row>
    <row r="54" s="45" customFormat="1" ht="17" customHeight="1" spans="1:7">
      <c r="A54" s="67" t="s">
        <v>216</v>
      </c>
      <c r="B54" s="45" t="s">
        <v>256</v>
      </c>
      <c r="C54" s="45">
        <v>14000</v>
      </c>
      <c r="D54" s="45"/>
      <c r="E54" s="69" t="s">
        <v>257</v>
      </c>
      <c r="F54" s="68">
        <f>C54/20</f>
        <v>700</v>
      </c>
      <c r="G54" s="45" t="s">
        <v>217</v>
      </c>
    </row>
    <row r="55" s="45" customFormat="1" ht="17" customHeight="1" spans="1:8">
      <c r="A55" s="60" t="s">
        <v>249</v>
      </c>
      <c r="B55" s="56" t="s">
        <v>118</v>
      </c>
      <c r="C55" s="56" t="s">
        <v>119</v>
      </c>
      <c r="D55" s="56" t="s">
        <v>120</v>
      </c>
      <c r="E55" s="56" t="s">
        <v>93</v>
      </c>
      <c r="F55" s="106" t="s">
        <v>258</v>
      </c>
      <c r="G55" s="56" t="s">
        <v>259</v>
      </c>
      <c r="H55" s="56" t="s">
        <v>260</v>
      </c>
    </row>
    <row r="56" s="45" customFormat="1" ht="17" customHeight="1" spans="1:8">
      <c r="A56" s="63">
        <v>1</v>
      </c>
      <c r="B56" s="58">
        <v>10</v>
      </c>
      <c r="C56" s="58">
        <v>10.2</v>
      </c>
      <c r="D56" s="58">
        <v>10.3</v>
      </c>
      <c r="E56" s="70">
        <f t="shared" ref="E56:E60" si="3">AVERAGE(B56:D56)</f>
        <v>10.1666666666667</v>
      </c>
      <c r="F56" s="58">
        <f t="shared" ref="F56:F60" si="4">F46</f>
        <v>10</v>
      </c>
      <c r="G56" s="136">
        <f t="shared" ref="G56:G60" si="5">(E56-$E$56)/$E$56</f>
        <v>0</v>
      </c>
      <c r="H56" s="58" t="str">
        <f t="shared" ref="H56:H60" si="6">IF(G56&lt;$C$16/2,"符合","不符合")</f>
        <v>符合</v>
      </c>
    </row>
    <row r="57" s="45" customFormat="1" ht="17" customHeight="1" spans="1:8">
      <c r="A57" s="63">
        <v>2</v>
      </c>
      <c r="B57" s="58">
        <v>10.21</v>
      </c>
      <c r="C57" s="70">
        <v>10.3</v>
      </c>
      <c r="D57" s="58">
        <v>10.29</v>
      </c>
      <c r="E57" s="70">
        <f t="shared" si="3"/>
        <v>10.2666666666667</v>
      </c>
      <c r="F57" s="58">
        <f t="shared" si="4"/>
        <v>182.5</v>
      </c>
      <c r="G57" s="136">
        <f t="shared" si="5"/>
        <v>0.00983606557377063</v>
      </c>
      <c r="H57" s="58" t="str">
        <f t="shared" si="6"/>
        <v>符合</v>
      </c>
    </row>
    <row r="58" s="45" customFormat="1" ht="17" customHeight="1" spans="1:8">
      <c r="A58" s="63">
        <v>3</v>
      </c>
      <c r="B58" s="58">
        <v>10.64</v>
      </c>
      <c r="C58" s="58">
        <v>10.78</v>
      </c>
      <c r="D58" s="58">
        <v>10.51</v>
      </c>
      <c r="E58" s="70">
        <f t="shared" si="3"/>
        <v>10.6433333333333</v>
      </c>
      <c r="F58" s="58">
        <f t="shared" si="4"/>
        <v>355</v>
      </c>
      <c r="G58" s="136">
        <f t="shared" si="5"/>
        <v>0.0468852459016393</v>
      </c>
      <c r="H58" s="58" t="str">
        <f t="shared" si="6"/>
        <v>符合</v>
      </c>
    </row>
    <row r="59" s="45" customFormat="1" ht="17" customHeight="1" spans="1:8">
      <c r="A59" s="63">
        <v>4</v>
      </c>
      <c r="B59" s="58">
        <v>12.21</v>
      </c>
      <c r="C59" s="58">
        <v>11.54</v>
      </c>
      <c r="D59" s="58">
        <v>10.98</v>
      </c>
      <c r="E59" s="70">
        <f t="shared" si="3"/>
        <v>11.5766666666667</v>
      </c>
      <c r="F59" s="58">
        <f t="shared" si="4"/>
        <v>527.5</v>
      </c>
      <c r="G59" s="136">
        <f t="shared" si="5"/>
        <v>0.138688524590164</v>
      </c>
      <c r="H59" s="58" t="str">
        <f t="shared" si="6"/>
        <v>符合</v>
      </c>
    </row>
    <row r="60" s="45" customFormat="1" ht="17" customHeight="1" spans="1:8">
      <c r="A60" s="65">
        <v>5</v>
      </c>
      <c r="B60" s="66">
        <v>12.2</v>
      </c>
      <c r="C60" s="66">
        <v>12.66</v>
      </c>
      <c r="D60" s="66">
        <v>10.14</v>
      </c>
      <c r="E60" s="134">
        <f t="shared" si="3"/>
        <v>11.6666666666667</v>
      </c>
      <c r="F60" s="66">
        <f t="shared" si="4"/>
        <v>700</v>
      </c>
      <c r="G60" s="137">
        <f t="shared" si="5"/>
        <v>0.147540983606557</v>
      </c>
      <c r="H60" s="66" t="str">
        <f t="shared" si="6"/>
        <v>符合</v>
      </c>
    </row>
    <row r="61" s="45" customFormat="1" ht="17" customHeight="1"/>
    <row r="62" s="45" customFormat="1" ht="17" customHeight="1" spans="1:7">
      <c r="A62" s="67" t="s">
        <v>218</v>
      </c>
      <c r="B62" s="68" t="s">
        <v>256</v>
      </c>
      <c r="C62" s="68">
        <v>240</v>
      </c>
      <c r="D62" s="68"/>
      <c r="E62" s="69" t="s">
        <v>257</v>
      </c>
      <c r="F62" s="68">
        <v>12</v>
      </c>
      <c r="G62" s="68" t="s">
        <v>219</v>
      </c>
    </row>
    <row r="63" s="45" customFormat="1" ht="17" customHeight="1" spans="1:8">
      <c r="A63" s="60" t="s">
        <v>249</v>
      </c>
      <c r="B63" s="56" t="s">
        <v>118</v>
      </c>
      <c r="C63" s="56" t="s">
        <v>119</v>
      </c>
      <c r="D63" s="56" t="s">
        <v>120</v>
      </c>
      <c r="E63" s="56" t="s">
        <v>93</v>
      </c>
      <c r="F63" s="106" t="s">
        <v>258</v>
      </c>
      <c r="G63" s="56" t="s">
        <v>259</v>
      </c>
      <c r="H63" s="56" t="s">
        <v>260</v>
      </c>
    </row>
    <row r="64" s="45" customFormat="1" ht="17" customHeight="1" spans="1:8">
      <c r="A64" s="63">
        <v>1</v>
      </c>
      <c r="B64" s="58">
        <v>10</v>
      </c>
      <c r="C64" s="58">
        <v>10.2</v>
      </c>
      <c r="D64" s="58">
        <v>10.3</v>
      </c>
      <c r="E64" s="70">
        <f t="shared" ref="E64:E68" si="7">AVERAGE(B64:D64)</f>
        <v>10.1666666666667</v>
      </c>
      <c r="F64" s="58">
        <f t="shared" ref="F64:F68" si="8">G46</f>
        <v>1.3</v>
      </c>
      <c r="G64" s="136">
        <f t="shared" ref="G64:G68" si="9">(E64-$E$64)/$E$64</f>
        <v>0</v>
      </c>
      <c r="H64" s="58" t="str">
        <f t="shared" ref="H64:H68" si="10">IF(G64&lt;$C$16/2,"符合","不符合")</f>
        <v>符合</v>
      </c>
    </row>
    <row r="65" s="45" customFormat="1" ht="17" customHeight="1" spans="1:8">
      <c r="A65" s="63">
        <v>2</v>
      </c>
      <c r="B65" s="58">
        <v>10.21</v>
      </c>
      <c r="C65" s="70">
        <v>10.3</v>
      </c>
      <c r="D65" s="58">
        <v>10.29</v>
      </c>
      <c r="E65" s="70">
        <f t="shared" si="7"/>
        <v>10.2666666666667</v>
      </c>
      <c r="F65" s="58">
        <f t="shared" si="8"/>
        <v>3.975</v>
      </c>
      <c r="G65" s="136">
        <f t="shared" si="9"/>
        <v>0.00983606557377063</v>
      </c>
      <c r="H65" s="58" t="str">
        <f t="shared" si="10"/>
        <v>符合</v>
      </c>
    </row>
    <row r="66" s="45" customFormat="1" ht="17" customHeight="1" spans="1:8">
      <c r="A66" s="63">
        <v>3</v>
      </c>
      <c r="B66" s="58">
        <v>10.64</v>
      </c>
      <c r="C66" s="58">
        <v>10.78</v>
      </c>
      <c r="D66" s="58">
        <v>10.51</v>
      </c>
      <c r="E66" s="70">
        <f t="shared" si="7"/>
        <v>10.6433333333333</v>
      </c>
      <c r="F66" s="58">
        <f t="shared" si="8"/>
        <v>6.65</v>
      </c>
      <c r="G66" s="136">
        <f t="shared" si="9"/>
        <v>0.0468852459016393</v>
      </c>
      <c r="H66" s="58" t="str">
        <f t="shared" si="10"/>
        <v>符合</v>
      </c>
    </row>
    <row r="67" s="45" customFormat="1" ht="17" customHeight="1" spans="1:8">
      <c r="A67" s="63">
        <v>4</v>
      </c>
      <c r="B67" s="58">
        <v>12.21</v>
      </c>
      <c r="C67" s="58">
        <v>11.54</v>
      </c>
      <c r="D67" s="58">
        <v>10.98</v>
      </c>
      <c r="E67" s="70">
        <f t="shared" si="7"/>
        <v>11.5766666666667</v>
      </c>
      <c r="F67" s="58">
        <f t="shared" si="8"/>
        <v>9.325</v>
      </c>
      <c r="G67" s="136">
        <f t="shared" si="9"/>
        <v>0.138688524590164</v>
      </c>
      <c r="H67" s="58" t="str">
        <f t="shared" si="10"/>
        <v>符合</v>
      </c>
    </row>
    <row r="68" s="45" customFormat="1" ht="17" customHeight="1" spans="1:8">
      <c r="A68" s="65">
        <v>5</v>
      </c>
      <c r="B68" s="66">
        <v>13.5</v>
      </c>
      <c r="C68" s="66">
        <v>15.67</v>
      </c>
      <c r="D68" s="66">
        <v>15.11</v>
      </c>
      <c r="E68" s="134">
        <f t="shared" si="7"/>
        <v>14.76</v>
      </c>
      <c r="F68" s="66">
        <f t="shared" si="8"/>
        <v>12</v>
      </c>
      <c r="G68" s="137">
        <f t="shared" si="9"/>
        <v>0.451803278688525</v>
      </c>
      <c r="H68" s="66" t="str">
        <f t="shared" si="10"/>
        <v>不符合</v>
      </c>
    </row>
    <row r="69" s="45" customFormat="1" ht="17" customHeight="1" spans="1:8">
      <c r="A69" s="63"/>
      <c r="B69" s="58"/>
      <c r="C69" s="58"/>
      <c r="D69" s="58"/>
      <c r="E69" s="70"/>
      <c r="F69" s="58"/>
      <c r="G69" s="136"/>
      <c r="H69" s="58"/>
    </row>
    <row r="70" s="45" customFormat="1" ht="17" customHeight="1" spans="1:8">
      <c r="A70" s="63"/>
      <c r="B70" s="58"/>
      <c r="C70" s="58"/>
      <c r="D70" s="58"/>
      <c r="E70" s="70"/>
      <c r="F70" s="58"/>
      <c r="G70" s="136"/>
      <c r="H70" s="58"/>
    </row>
    <row r="71" s="45" customFormat="1" ht="17" customHeight="1" spans="1:8">
      <c r="A71" s="63"/>
      <c r="B71" s="58"/>
      <c r="C71" s="58"/>
      <c r="D71" s="58"/>
      <c r="E71" s="70"/>
      <c r="F71" s="58"/>
      <c r="G71" s="136"/>
      <c r="H71" s="58"/>
    </row>
    <row r="72" s="45" customFormat="1" ht="17" customHeight="1" spans="1:7">
      <c r="A72" s="67" t="s">
        <v>220</v>
      </c>
      <c r="B72" s="68" t="s">
        <v>256</v>
      </c>
      <c r="C72" s="68">
        <v>160</v>
      </c>
      <c r="D72" s="68"/>
      <c r="E72" s="69" t="s">
        <v>257</v>
      </c>
      <c r="F72" s="68">
        <v>8</v>
      </c>
      <c r="G72" s="68" t="s">
        <v>261</v>
      </c>
    </row>
    <row r="73" s="45" customFormat="1" ht="17" customHeight="1" spans="1:8">
      <c r="A73" s="60" t="s">
        <v>249</v>
      </c>
      <c r="B73" s="56" t="s">
        <v>118</v>
      </c>
      <c r="C73" s="56" t="s">
        <v>119</v>
      </c>
      <c r="D73" s="56" t="s">
        <v>120</v>
      </c>
      <c r="E73" s="56" t="s">
        <v>93</v>
      </c>
      <c r="F73" s="106" t="s">
        <v>258</v>
      </c>
      <c r="G73" s="56" t="s">
        <v>259</v>
      </c>
      <c r="H73" s="56" t="s">
        <v>260</v>
      </c>
    </row>
    <row r="74" s="45" customFormat="1" ht="17" customHeight="1" spans="1:8">
      <c r="A74" s="63">
        <v>1</v>
      </c>
      <c r="B74" s="58">
        <v>10</v>
      </c>
      <c r="C74" s="58">
        <v>10.2</v>
      </c>
      <c r="D74" s="58">
        <v>10.3</v>
      </c>
      <c r="E74" s="70">
        <f t="shared" ref="E74:E78" si="11">AVERAGE(B74:D74)</f>
        <v>10.1666666666667</v>
      </c>
      <c r="F74" s="58">
        <f t="shared" ref="F74:F78" si="12">H46</f>
        <v>0</v>
      </c>
      <c r="G74" s="136">
        <f t="shared" ref="G74:G78" si="13">(E74-$E$74)/$E$74</f>
        <v>0</v>
      </c>
      <c r="H74" s="58" t="str">
        <f t="shared" ref="H74:H78" si="14">IF(G74&lt;$C$16/2,"符合","不符合")</f>
        <v>符合</v>
      </c>
    </row>
    <row r="75" s="45" customFormat="1" ht="17" customHeight="1" spans="1:8">
      <c r="A75" s="63">
        <v>2</v>
      </c>
      <c r="B75" s="58">
        <v>10.21</v>
      </c>
      <c r="C75" s="70">
        <v>10.3</v>
      </c>
      <c r="D75" s="58">
        <v>10.29</v>
      </c>
      <c r="E75" s="70">
        <f t="shared" si="11"/>
        <v>10.2666666666667</v>
      </c>
      <c r="F75" s="58">
        <f t="shared" si="12"/>
        <v>2</v>
      </c>
      <c r="G75" s="136">
        <f t="shared" si="13"/>
        <v>0.00983606557377063</v>
      </c>
      <c r="H75" s="58" t="str">
        <f t="shared" si="14"/>
        <v>符合</v>
      </c>
    </row>
    <row r="76" s="45" customFormat="1" ht="17" customHeight="1" spans="1:8">
      <c r="A76" s="63">
        <v>3</v>
      </c>
      <c r="B76" s="58">
        <v>10.64</v>
      </c>
      <c r="C76" s="58">
        <v>10.78</v>
      </c>
      <c r="D76" s="58">
        <v>10.51</v>
      </c>
      <c r="E76" s="70">
        <f t="shared" si="11"/>
        <v>10.6433333333333</v>
      </c>
      <c r="F76" s="58">
        <f t="shared" si="12"/>
        <v>4</v>
      </c>
      <c r="G76" s="136">
        <f t="shared" si="13"/>
        <v>0.0468852459016393</v>
      </c>
      <c r="H76" s="58" t="str">
        <f t="shared" si="14"/>
        <v>符合</v>
      </c>
    </row>
    <row r="77" s="45" customFormat="1" ht="17" customHeight="1" spans="1:8">
      <c r="A77" s="63">
        <v>4</v>
      </c>
      <c r="B77" s="58">
        <v>12.21</v>
      </c>
      <c r="C77" s="58">
        <v>11.54</v>
      </c>
      <c r="D77" s="58">
        <v>10.98</v>
      </c>
      <c r="E77" s="70">
        <f t="shared" si="11"/>
        <v>11.5766666666667</v>
      </c>
      <c r="F77" s="58">
        <f t="shared" si="12"/>
        <v>6</v>
      </c>
      <c r="G77" s="136">
        <f t="shared" si="13"/>
        <v>0.138688524590164</v>
      </c>
      <c r="H77" s="58" t="str">
        <f t="shared" si="14"/>
        <v>符合</v>
      </c>
    </row>
    <row r="78" s="45" customFormat="1" ht="17" customHeight="1" spans="1:8">
      <c r="A78" s="65">
        <v>5</v>
      </c>
      <c r="B78" s="66">
        <v>13.5</v>
      </c>
      <c r="C78" s="66">
        <v>15.67</v>
      </c>
      <c r="D78" s="66">
        <v>15.11</v>
      </c>
      <c r="E78" s="134">
        <f t="shared" si="11"/>
        <v>14.76</v>
      </c>
      <c r="F78" s="66">
        <f t="shared" si="12"/>
        <v>8</v>
      </c>
      <c r="G78" s="137">
        <f t="shared" si="13"/>
        <v>0.451803278688525</v>
      </c>
      <c r="H78" s="66" t="str">
        <f t="shared" si="14"/>
        <v>不符合</v>
      </c>
    </row>
    <row r="79" s="45" customFormat="1" ht="15" customHeight="1" spans="1:7">
      <c r="A79" s="57"/>
      <c r="B79" s="58"/>
      <c r="C79" s="58"/>
      <c r="D79" s="58"/>
      <c r="E79" s="58"/>
      <c r="F79" s="58"/>
      <c r="G79" s="131"/>
    </row>
    <row r="80" customFormat="1" ht="24" customHeight="1" spans="1:19">
      <c r="A80" s="57" t="s">
        <v>262</v>
      </c>
      <c r="B80" s="144"/>
      <c r="C80" s="144"/>
      <c r="D80" s="144"/>
      <c r="E80" s="145"/>
      <c r="F80" s="145"/>
      <c r="G80" s="145"/>
      <c r="H80" s="145"/>
      <c r="I80" s="145"/>
      <c r="J80" s="145"/>
      <c r="K80" s="145"/>
      <c r="L80" s="145"/>
      <c r="M80"/>
      <c r="N80"/>
      <c r="O80" s="145"/>
      <c r="P80" s="145"/>
      <c r="Q80" s="145"/>
      <c r="R80" s="145"/>
      <c r="S80" s="145"/>
    </row>
    <row r="81" customFormat="1" ht="24" customHeight="1" spans="1:19">
      <c r="A81" s="146" t="s">
        <v>263</v>
      </c>
      <c r="B81" s="146"/>
      <c r="C81" s="146"/>
      <c r="D81" s="147"/>
      <c r="E81" s="148"/>
      <c r="F81" s="149"/>
      <c r="G81" s="149"/>
      <c r="H81" s="149"/>
      <c r="I81" s="145"/>
      <c r="J81" s="145"/>
      <c r="K81" s="145"/>
      <c r="L81" s="145"/>
      <c r="M81"/>
      <c r="N81"/>
      <c r="O81" s="145"/>
      <c r="P81" s="145"/>
      <c r="Q81" s="145"/>
      <c r="R81" s="145"/>
      <c r="S81" s="145"/>
    </row>
    <row r="82" customFormat="1" ht="24" customHeight="1" spans="1:19">
      <c r="A82" s="150" t="s">
        <v>264</v>
      </c>
      <c r="D82" s="151"/>
      <c r="E82" s="151"/>
      <c r="I82" s="145"/>
      <c r="J82" s="145"/>
      <c r="K82" s="145"/>
      <c r="L82" s="145"/>
      <c r="M82"/>
      <c r="N82"/>
      <c r="O82" s="145"/>
      <c r="P82" s="145"/>
      <c r="Q82" s="145"/>
      <c r="R82" s="145"/>
      <c r="S82" s="145"/>
    </row>
    <row r="83" customFormat="1" ht="24" customHeight="1" spans="1:19">
      <c r="A83" s="152" t="s">
        <v>230</v>
      </c>
      <c r="B83" s="152"/>
      <c r="C83" s="152"/>
      <c r="D83" s="152"/>
      <c r="E83" s="152"/>
      <c r="F83" s="152"/>
      <c r="G83" s="152"/>
      <c r="I83" s="145"/>
      <c r="J83" s="145"/>
      <c r="K83" s="145"/>
      <c r="L83" s="145"/>
      <c r="M83"/>
      <c r="N83"/>
      <c r="O83" s="145"/>
      <c r="P83" s="145"/>
      <c r="Q83" s="145"/>
      <c r="R83" s="145"/>
      <c r="S83" s="145"/>
    </row>
    <row r="84" customFormat="1" ht="24" customHeight="1" spans="1:19">
      <c r="A84" s="144"/>
      <c r="B84" s="144"/>
      <c r="C84" s="144"/>
      <c r="D84" s="144"/>
      <c r="E84" s="145"/>
      <c r="F84" s="145"/>
      <c r="G84" s="145"/>
      <c r="H84" s="145"/>
      <c r="I84" s="145"/>
      <c r="J84" s="145"/>
      <c r="K84" s="145"/>
      <c r="L84" s="145"/>
      <c r="M84"/>
      <c r="N84"/>
      <c r="O84" s="145"/>
      <c r="P84" s="145"/>
      <c r="Q84" s="145"/>
      <c r="R84" s="145"/>
      <c r="S84" s="145"/>
    </row>
    <row r="85" customFormat="1" ht="24" customHeight="1" spans="1:19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/>
      <c r="N85"/>
      <c r="O85" s="145"/>
      <c r="P85" s="145"/>
      <c r="Q85" s="145"/>
      <c r="R85" s="145"/>
      <c r="S85" s="145"/>
    </row>
    <row r="86" customFormat="1" ht="24" customHeight="1" spans="1:19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/>
      <c r="N86"/>
      <c r="O86" s="145"/>
      <c r="P86" s="145"/>
      <c r="Q86" s="145"/>
      <c r="R86" s="145"/>
      <c r="S86" s="145"/>
    </row>
    <row r="87" s="76" customFormat="1" ht="24" customHeight="1" spans="15:19">
      <c r="O87" s="145"/>
      <c r="P87" s="145"/>
      <c r="Q87" s="145"/>
      <c r="R87" s="145"/>
      <c r="S87" s="145"/>
    </row>
    <row r="88" s="76" customFormat="1" ht="15" customHeight="1" spans="13:19">
      <c r="M88" s="145"/>
      <c r="N88" s="145"/>
      <c r="O88" s="145"/>
      <c r="P88" s="145"/>
      <c r="Q88" s="145"/>
      <c r="R88" s="145"/>
      <c r="S88" s="145"/>
    </row>
    <row r="89" s="76" customFormat="1" ht="15" customHeight="1" spans="13:19">
      <c r="M89" s="145"/>
      <c r="N89" s="145"/>
      <c r="O89" s="145"/>
      <c r="P89" s="145"/>
      <c r="Q89" s="145"/>
      <c r="R89" s="145"/>
      <c r="S89" s="145"/>
    </row>
    <row r="90" s="76" customFormat="1" ht="15" customHeight="1" spans="13:19">
      <c r="M90" s="145"/>
      <c r="N90" s="145"/>
      <c r="O90" s="145"/>
      <c r="P90" s="145"/>
      <c r="Q90" s="145"/>
      <c r="R90" s="145"/>
      <c r="S90" s="145"/>
    </row>
    <row r="91" s="76" customFormat="1" ht="15" customHeight="1" spans="13:19">
      <c r="M91" s="145"/>
      <c r="N91" s="145"/>
      <c r="O91" s="145"/>
      <c r="P91" s="145"/>
      <c r="Q91" s="145"/>
      <c r="R91" s="145"/>
      <c r="S91" s="145"/>
    </row>
    <row r="92" s="76" customFormat="1" ht="15" customHeight="1" spans="13:19">
      <c r="M92" s="145"/>
      <c r="N92" s="145"/>
      <c r="O92" s="145"/>
      <c r="P92" s="145"/>
      <c r="Q92" s="145"/>
      <c r="R92" s="145"/>
      <c r="S92" s="145"/>
    </row>
    <row r="93" s="76" customFormat="1" ht="15" customHeight="1" spans="13:19">
      <c r="M93" s="145"/>
      <c r="N93" s="145"/>
      <c r="O93" s="145"/>
      <c r="P93" s="145"/>
      <c r="Q93" s="145"/>
      <c r="R93" s="145"/>
      <c r="S93" s="145"/>
    </row>
    <row r="94" s="76" customFormat="1" ht="15" customHeight="1" spans="13:19">
      <c r="M94" s="145"/>
      <c r="N94" s="145"/>
      <c r="O94" s="145"/>
      <c r="P94" s="145"/>
      <c r="Q94" s="145"/>
      <c r="R94" s="145"/>
      <c r="S94" s="145"/>
    </row>
    <row r="95" s="76" customFormat="1" ht="15" customHeight="1" spans="13:19">
      <c r="M95" s="145"/>
      <c r="N95" s="145"/>
      <c r="O95" s="145"/>
      <c r="P95" s="145"/>
      <c r="Q95" s="145"/>
      <c r="R95" s="145"/>
      <c r="S95" s="145"/>
    </row>
    <row r="96" s="76" customFormat="1" ht="15" customHeight="1" spans="13:19">
      <c r="M96" s="145"/>
      <c r="N96" s="145"/>
      <c r="O96" s="145"/>
      <c r="P96" s="145"/>
      <c r="Q96" s="145"/>
      <c r="R96" s="145"/>
      <c r="S96" s="145"/>
    </row>
    <row r="97" s="76" customFormat="1" ht="15" customHeight="1" spans="13:19">
      <c r="M97" s="145"/>
      <c r="N97" s="145"/>
      <c r="O97" s="145"/>
      <c r="P97" s="145"/>
      <c r="Q97" s="145"/>
      <c r="R97" s="145"/>
      <c r="S97" s="145"/>
    </row>
    <row r="98" s="76" customFormat="1" ht="15" customHeight="1" spans="13:19">
      <c r="M98" s="145"/>
      <c r="N98" s="145"/>
      <c r="O98" s="145"/>
      <c r="P98" s="145"/>
      <c r="Q98" s="145"/>
      <c r="R98" s="145"/>
      <c r="S98" s="145"/>
    </row>
    <row r="99" s="77" customFormat="1" ht="15" customHeight="1" spans="1:1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145"/>
      <c r="N99" s="145"/>
      <c r="O99" s="145"/>
      <c r="P99" s="145"/>
      <c r="Q99" s="145"/>
      <c r="R99" s="145"/>
      <c r="S99" s="145"/>
    </row>
    <row r="100" s="76" customFormat="1" ht="15" customHeight="1" spans="13:19">
      <c r="M100" s="145"/>
      <c r="N100" s="145"/>
      <c r="O100" s="145"/>
      <c r="P100" s="145"/>
      <c r="Q100" s="145"/>
      <c r="R100" s="145"/>
      <c r="S100" s="145"/>
    </row>
    <row r="101" s="76" customFormat="1" ht="15" customHeight="1" spans="13:19">
      <c r="M101" s="145"/>
      <c r="N101" s="145"/>
      <c r="O101" s="145"/>
      <c r="P101" s="145"/>
      <c r="Q101" s="145"/>
      <c r="R101" s="145"/>
      <c r="S101" s="145"/>
    </row>
    <row r="102" s="76" customFormat="1" ht="15" customHeight="1" spans="13:19">
      <c r="M102" s="145"/>
      <c r="N102" s="145"/>
      <c r="O102" s="145"/>
      <c r="P102" s="145"/>
      <c r="Q102" s="145"/>
      <c r="R102" s="145"/>
      <c r="S102" s="145"/>
    </row>
    <row r="103" s="76" customFormat="1" ht="15" customHeight="1" spans="13:19">
      <c r="M103" s="145"/>
      <c r="N103" s="145"/>
      <c r="O103" s="145"/>
      <c r="P103" s="145"/>
      <c r="Q103" s="145"/>
      <c r="R103" s="145"/>
      <c r="S103" s="145"/>
    </row>
    <row r="104" s="76" customFormat="1" ht="15" customHeight="1" spans="13:19">
      <c r="M104" s="145"/>
      <c r="N104" s="145"/>
      <c r="O104" s="145"/>
      <c r="P104" s="145"/>
      <c r="Q104" s="154"/>
      <c r="R104" s="154"/>
      <c r="S104" s="145"/>
    </row>
    <row r="105" s="76" customFormat="1" ht="15" customHeight="1" spans="13:19">
      <c r="M105" s="145"/>
      <c r="N105" s="145"/>
      <c r="O105" s="145"/>
      <c r="P105" s="145"/>
      <c r="Q105" s="145"/>
      <c r="R105" s="145"/>
      <c r="S105" s="145"/>
    </row>
    <row r="106" s="76" customFormat="1" ht="15" customHeight="1" spans="13:19">
      <c r="M106" s="145"/>
      <c r="N106" s="145"/>
      <c r="O106" s="145"/>
      <c r="P106" s="145"/>
      <c r="Q106" s="145"/>
      <c r="R106" s="145"/>
      <c r="S106" s="145"/>
    </row>
    <row r="107" s="76" customFormat="1" ht="15" customHeight="1" spans="13:19">
      <c r="M107" s="145"/>
      <c r="N107" s="145"/>
      <c r="O107" s="145"/>
      <c r="P107" s="145"/>
      <c r="Q107" s="145"/>
      <c r="R107" s="145"/>
      <c r="S107" s="145"/>
    </row>
    <row r="108" s="76" customFormat="1" ht="15" customHeight="1" spans="13:19">
      <c r="M108" s="145"/>
      <c r="N108" s="145"/>
      <c r="O108" s="145"/>
      <c r="P108" s="145"/>
      <c r="Q108" s="145"/>
      <c r="R108" s="145"/>
      <c r="S108" s="145"/>
    </row>
    <row r="109" s="76" customFormat="1" ht="15" customHeight="1" spans="13:19">
      <c r="M109" s="145"/>
      <c r="N109" s="145"/>
      <c r="O109" s="145"/>
      <c r="P109" s="145"/>
      <c r="Q109" s="145"/>
      <c r="R109" s="145"/>
      <c r="S109" s="145"/>
    </row>
    <row r="110" s="76" customFormat="1" ht="15" customHeight="1" spans="13:19">
      <c r="M110" s="145"/>
      <c r="N110" s="145"/>
      <c r="O110" s="145"/>
      <c r="P110" s="145"/>
      <c r="Q110" s="145"/>
      <c r="R110" s="145"/>
      <c r="S110" s="145"/>
    </row>
    <row r="111" s="76" customFormat="1" ht="15" customHeight="1" spans="13:19">
      <c r="M111" s="145"/>
      <c r="N111" s="145"/>
      <c r="O111" s="145"/>
      <c r="P111" s="145"/>
      <c r="Q111" s="145"/>
      <c r="R111" s="145"/>
      <c r="S111" s="145"/>
    </row>
    <row r="112" s="76" customFormat="1" ht="15" customHeight="1" spans="13:19">
      <c r="M112" s="145"/>
      <c r="N112" s="145"/>
      <c r="O112" s="145"/>
      <c r="P112" s="145"/>
      <c r="Q112" s="145"/>
      <c r="R112" s="145"/>
      <c r="S112" s="145"/>
    </row>
    <row r="113" s="76" customFormat="1" ht="15" customHeight="1" spans="13:19">
      <c r="M113" s="145"/>
      <c r="N113" s="145"/>
      <c r="O113" s="145"/>
      <c r="P113" s="145"/>
      <c r="Q113" s="145"/>
      <c r="R113" s="145"/>
      <c r="S113" s="145"/>
    </row>
    <row r="114" s="77" customFormat="1" ht="15" customHeight="1" spans="1:19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153"/>
      <c r="N114" s="153"/>
      <c r="O114" s="153"/>
      <c r="P114" s="153"/>
      <c r="Q114" s="153"/>
      <c r="R114" s="153"/>
      <c r="S114" s="153"/>
    </row>
    <row r="115" s="76" customFormat="1" ht="45.6" customHeight="1" spans="13:19">
      <c r="M115" s="145"/>
      <c r="N115" s="145"/>
      <c r="O115" s="145"/>
      <c r="P115" s="145"/>
      <c r="Q115" s="145"/>
      <c r="R115" s="145"/>
      <c r="S115" s="145"/>
    </row>
    <row r="116" s="76" customFormat="1" ht="15" customHeight="1" spans="13:19">
      <c r="M116" s="145"/>
      <c r="N116" s="145"/>
      <c r="O116" s="145"/>
      <c r="P116" s="145"/>
      <c r="Q116" s="145"/>
      <c r="R116" s="145"/>
      <c r="S116" s="145"/>
    </row>
    <row r="117" s="76" customFormat="1" ht="15" customHeight="1" spans="13:19">
      <c r="M117" s="145"/>
      <c r="N117" s="145"/>
      <c r="O117" s="145"/>
      <c r="P117" s="145"/>
      <c r="Q117" s="145"/>
      <c r="R117" s="145"/>
      <c r="S117" s="145"/>
    </row>
    <row r="118" s="76" customFormat="1" ht="15" customHeight="1" spans="13:19">
      <c r="M118" s="145"/>
      <c r="N118" s="145"/>
      <c r="O118" s="145"/>
      <c r="P118" s="145"/>
      <c r="Q118" s="145"/>
      <c r="R118" s="145"/>
      <c r="S118" s="145"/>
    </row>
    <row r="119" s="76" customFormat="1" ht="15" customHeight="1" spans="13:19">
      <c r="M119" s="145"/>
      <c r="N119" s="145"/>
      <c r="O119" s="145"/>
      <c r="P119" s="145"/>
      <c r="Q119" s="145"/>
      <c r="R119" s="145"/>
      <c r="S119" s="145"/>
    </row>
    <row r="120" s="76" customFormat="1" ht="15" customHeight="1" spans="13:19">
      <c r="M120" s="145"/>
      <c r="N120" s="145"/>
      <c r="O120" s="145"/>
      <c r="P120" s="145"/>
      <c r="Q120" s="145"/>
      <c r="R120" s="145"/>
      <c r="S120" s="145"/>
    </row>
    <row r="121" s="76" customFormat="1" ht="15" customHeight="1" spans="13:19">
      <c r="M121" s="145"/>
      <c r="N121" s="145"/>
      <c r="O121" s="145"/>
      <c r="P121" s="145"/>
      <c r="Q121" s="145"/>
      <c r="R121" s="145"/>
      <c r="S121" s="145"/>
    </row>
    <row r="122" s="76" customFormat="1" ht="15" customHeight="1" spans="13:19">
      <c r="M122" s="145"/>
      <c r="N122" s="145"/>
      <c r="O122" s="145"/>
      <c r="P122" s="145"/>
      <c r="Q122" s="145"/>
      <c r="R122" s="145"/>
      <c r="S122" s="145"/>
    </row>
    <row r="123" s="76" customFormat="1" ht="15" customHeight="1" spans="13:19">
      <c r="M123" s="145"/>
      <c r="N123" s="145"/>
      <c r="O123" s="145"/>
      <c r="P123" s="145"/>
      <c r="Q123" s="145"/>
      <c r="R123" s="145"/>
      <c r="S123" s="145"/>
    </row>
    <row r="124" s="76" customFormat="1" ht="15" customHeight="1" spans="13:19">
      <c r="M124" s="145"/>
      <c r="N124" s="145"/>
      <c r="O124" s="145"/>
      <c r="P124" s="145"/>
      <c r="Q124" s="145"/>
      <c r="R124" s="145"/>
      <c r="S124" s="145"/>
    </row>
    <row r="125" s="76" customFormat="1" ht="15" customHeight="1" spans="13:19">
      <c r="M125" s="145"/>
      <c r="N125" s="145"/>
      <c r="O125" s="145"/>
      <c r="P125" s="145"/>
      <c r="Q125" s="145"/>
      <c r="R125" s="145"/>
      <c r="S125" s="145"/>
    </row>
    <row r="126" s="76" customFormat="1" ht="15" customHeight="1" spans="13:19">
      <c r="M126" s="145"/>
      <c r="N126" s="145"/>
      <c r="O126" s="145"/>
      <c r="P126" s="145"/>
      <c r="Q126" s="145"/>
      <c r="R126" s="145"/>
      <c r="S126" s="145"/>
    </row>
    <row r="127" s="76" customFormat="1" ht="15" customHeight="1" spans="13:19">
      <c r="M127" s="145"/>
      <c r="N127" s="145"/>
      <c r="O127" s="145"/>
      <c r="P127" s="145"/>
      <c r="Q127" s="145"/>
      <c r="R127" s="155"/>
      <c r="S127" s="145"/>
    </row>
    <row r="128" s="76" customFormat="1" ht="15" customHeight="1" spans="13:19">
      <c r="M128" s="145"/>
      <c r="N128" s="145"/>
      <c r="O128" s="145"/>
      <c r="P128" s="145"/>
      <c r="Q128" s="156"/>
      <c r="R128" s="145"/>
      <c r="S128" s="145"/>
    </row>
    <row r="129" s="76" customFormat="1" ht="15" customHeight="1" spans="13:19">
      <c r="M129" s="145"/>
      <c r="N129" s="145"/>
      <c r="O129" s="145"/>
      <c r="P129" s="145"/>
      <c r="Q129" s="156"/>
      <c r="R129" s="145"/>
      <c r="S129" s="145"/>
    </row>
    <row r="130" s="76" customFormat="1" ht="15" customHeight="1" spans="13:19">
      <c r="M130" s="145"/>
      <c r="N130" s="145"/>
      <c r="O130" s="145"/>
      <c r="P130" s="145"/>
      <c r="Q130" s="156"/>
      <c r="R130" s="145"/>
      <c r="S130" s="145"/>
    </row>
    <row r="131" s="78" customFormat="1" ht="15" customHeight="1" spans="1:19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145"/>
      <c r="N131" s="145"/>
      <c r="O131" s="145"/>
      <c r="P131" s="145"/>
      <c r="Q131" s="156"/>
      <c r="R131" s="145"/>
      <c r="S131" s="145"/>
    </row>
    <row r="132" s="79" customFormat="1" ht="15" customHeight="1" spans="1:19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145"/>
      <c r="N132" s="145"/>
      <c r="O132" s="145"/>
      <c r="P132" s="145"/>
      <c r="Q132" s="156"/>
      <c r="R132" s="145"/>
      <c r="S132" s="145"/>
    </row>
    <row r="133" s="77" customFormat="1" ht="15" customHeight="1" spans="1:19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145"/>
      <c r="N133" s="145"/>
      <c r="O133" s="145"/>
      <c r="P133" s="145"/>
      <c r="Q133" s="156"/>
      <c r="R133" s="145"/>
      <c r="S133" s="145"/>
    </row>
    <row r="134" s="77" customFormat="1" ht="15" customHeight="1" spans="1:19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145"/>
      <c r="N134" s="145"/>
      <c r="O134" s="145"/>
      <c r="P134" s="145"/>
      <c r="Q134" s="156"/>
      <c r="R134" s="145"/>
      <c r="S134" s="145"/>
    </row>
    <row r="135" s="76" customFormat="1" ht="15" customHeight="1" spans="13:18">
      <c r="M135" s="145"/>
      <c r="N135" s="145"/>
      <c r="O135" s="145"/>
      <c r="P135" s="145"/>
      <c r="Q135" s="79"/>
      <c r="R135" s="79"/>
    </row>
    <row r="136" s="76" customFormat="1" ht="15" customHeight="1" spans="17:19">
      <c r="Q136" s="79"/>
      <c r="R136" s="79"/>
      <c r="S136" s="145"/>
    </row>
    <row r="137" s="76" customFormat="1" ht="15" customHeight="1" spans="13:19">
      <c r="M137" s="145"/>
      <c r="N137" s="145"/>
      <c r="O137" s="145"/>
      <c r="P137" s="145"/>
      <c r="Q137" s="77"/>
      <c r="R137" s="77"/>
      <c r="S137" s="145"/>
    </row>
    <row r="138" s="76" customFormat="1" ht="15" customHeight="1" spans="13:19">
      <c r="M138" s="145"/>
      <c r="N138" s="145"/>
      <c r="O138" s="145"/>
      <c r="P138" s="145"/>
      <c r="Q138" s="77"/>
      <c r="R138" s="77"/>
      <c r="S138" s="145"/>
    </row>
    <row r="139" s="76" customFormat="1" ht="15" customHeight="1" spans="13:19">
      <c r="M139" s="145"/>
      <c r="N139" s="145"/>
      <c r="O139" s="145"/>
      <c r="P139" s="145"/>
      <c r="Q139" s="76"/>
      <c r="R139" s="76"/>
      <c r="S139" s="145"/>
    </row>
    <row r="140" s="76" customFormat="1" ht="15" customHeight="1" spans="13:19">
      <c r="M140" s="145"/>
      <c r="N140" s="145"/>
      <c r="O140" s="145"/>
      <c r="P140" s="145"/>
      <c r="Q140" s="76"/>
      <c r="R140" s="76"/>
      <c r="S140" s="145"/>
    </row>
    <row r="141" s="76" customFormat="1" ht="15" customHeight="1" spans="13:19">
      <c r="M141" s="145"/>
      <c r="N141" s="145"/>
      <c r="O141" s="145"/>
      <c r="P141" s="145"/>
      <c r="Q141" s="76"/>
      <c r="R141" s="76"/>
      <c r="S141" s="145"/>
    </row>
    <row r="142" s="76" customFormat="1" ht="15" customHeight="1" spans="13:19">
      <c r="M142" s="145"/>
      <c r="N142" s="145"/>
      <c r="O142" s="145"/>
      <c r="P142" s="145"/>
      <c r="Q142" s="76"/>
      <c r="R142" s="76"/>
      <c r="S142" s="145"/>
    </row>
    <row r="143" s="76" customFormat="1" ht="15" customHeight="1" spans="13:19">
      <c r="M143" s="145"/>
      <c r="N143" s="145"/>
      <c r="O143" s="145"/>
      <c r="P143" s="145"/>
      <c r="Q143" s="76"/>
      <c r="R143" s="76"/>
      <c r="S143" s="145"/>
    </row>
    <row r="144" s="76" customFormat="1" ht="15" customHeight="1" spans="13:19">
      <c r="M144" s="145"/>
      <c r="N144" s="145"/>
      <c r="O144" s="145"/>
      <c r="P144" s="145"/>
      <c r="Q144" s="76"/>
      <c r="R144" s="76"/>
      <c r="S144" s="145"/>
    </row>
    <row r="145" s="76" customFormat="1" ht="15" customHeight="1" spans="13:19">
      <c r="M145" s="145"/>
      <c r="N145" s="145"/>
      <c r="O145" s="145"/>
      <c r="P145" s="145"/>
      <c r="Q145" s="76"/>
      <c r="R145" s="76"/>
      <c r="S145" s="79"/>
    </row>
    <row r="146" s="78" customFormat="1" ht="22.05" customHeight="1" spans="1:18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Q146" s="45"/>
      <c r="R146" s="45"/>
    </row>
    <row r="147" s="79" customFormat="1" ht="15" customHeight="1" spans="1:19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Q147" s="76"/>
      <c r="R147" s="76"/>
      <c r="S147" s="77"/>
    </row>
    <row r="148" s="77" customFormat="1" spans="1:1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Q148" s="76"/>
      <c r="R148" s="76"/>
    </row>
    <row r="149" s="77" customFormat="1" spans="1:1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Q149" s="76"/>
      <c r="R149" s="76"/>
      <c r="S149" s="76"/>
    </row>
  </sheetData>
  <sheetProtection selectLockedCells="1" formatCells="0" formatColumns="0" formatRows="0"/>
  <protectedRanges>
    <protectedRange sqref="D52:F52" name="区域1_1_1_18"/>
  </protectedRanges>
  <mergeCells count="77">
    <mergeCell ref="A1:H1"/>
    <mergeCell ref="A2:H2"/>
    <mergeCell ref="A3:H3"/>
    <mergeCell ref="A5:G5"/>
    <mergeCell ref="A6:H6"/>
    <mergeCell ref="A8:G8"/>
    <mergeCell ref="A9:B9"/>
    <mergeCell ref="C9:D9"/>
    <mergeCell ref="E9:F9"/>
    <mergeCell ref="G9:H9"/>
    <mergeCell ref="J9:K9"/>
    <mergeCell ref="A10:B10"/>
    <mergeCell ref="C10:D10"/>
    <mergeCell ref="E10:F10"/>
    <mergeCell ref="G10:H10"/>
    <mergeCell ref="J10:K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C14"/>
    <mergeCell ref="J14:K14"/>
    <mergeCell ref="A16:B16"/>
    <mergeCell ref="C16:D16"/>
    <mergeCell ref="A17:B17"/>
    <mergeCell ref="C17:D17"/>
    <mergeCell ref="E17:F17"/>
    <mergeCell ref="G17:H17"/>
    <mergeCell ref="A18:B18"/>
    <mergeCell ref="C18:D18"/>
    <mergeCell ref="E18:F18"/>
    <mergeCell ref="G18:H18"/>
    <mergeCell ref="A20:G20"/>
    <mergeCell ref="A21:B21"/>
    <mergeCell ref="E21:F21"/>
    <mergeCell ref="B24:C24"/>
    <mergeCell ref="D24:E24"/>
    <mergeCell ref="F24:G24"/>
    <mergeCell ref="B25:C25"/>
    <mergeCell ref="D25:E25"/>
    <mergeCell ref="F25:G25"/>
    <mergeCell ref="A26:H26"/>
    <mergeCell ref="A28:H28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A41:B41"/>
    <mergeCell ref="A42:B42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A81:C81"/>
    <mergeCell ref="A83:G83"/>
    <mergeCell ref="A22:H23"/>
  </mergeCells>
  <printOptions horizontalCentered="1"/>
  <pageMargins left="0.708661417322835" right="0.708661417322835" top="0.748031496062992" bottom="0.748031496062992" header="0.31496062992126" footer="0.31496062992126"/>
  <pageSetup paperSize="9" scale="99" fitToHeight="0" orientation="portrait"/>
  <headerFooter/>
  <rowBreaks count="2" manualBreakCount="2">
    <brk id="88" max="16383" man="1"/>
    <brk id="11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A1:S132"/>
  <sheetViews>
    <sheetView topLeftCell="A30" workbookViewId="0">
      <selection activeCell="H87" sqref="H87"/>
    </sheetView>
  </sheetViews>
  <sheetFormatPr defaultColWidth="9" defaultRowHeight="14.4"/>
  <cols>
    <col min="1" max="1" width="11.2222222222222" customWidth="1"/>
    <col min="2" max="2" width="12.7777777777778" customWidth="1"/>
    <col min="3" max="3" width="11.6666666666667" customWidth="1"/>
    <col min="4" max="5" width="10.5555555555556" customWidth="1"/>
    <col min="6" max="6" width="13.2222222222222" customWidth="1"/>
    <col min="8" max="8" width="16.1018518518519" customWidth="1"/>
    <col min="11" max="11" width="11.4444444444444" customWidth="1"/>
  </cols>
  <sheetData>
    <row r="1" spans="1:7">
      <c r="A1" s="1" t="s">
        <v>265</v>
      </c>
      <c r="B1" s="1"/>
      <c r="C1" s="1"/>
      <c r="D1" s="1"/>
      <c r="E1" s="1"/>
      <c r="F1" s="1"/>
      <c r="G1" s="1"/>
    </row>
    <row r="2" spans="1:19">
      <c r="A2" s="1"/>
      <c r="B2" s="1"/>
      <c r="C2" s="1"/>
      <c r="D2" s="1"/>
      <c r="E2" s="1"/>
      <c r="F2" s="1"/>
      <c r="G2" s="1"/>
      <c r="P2" s="36"/>
      <c r="Q2" s="39"/>
      <c r="R2" s="39"/>
      <c r="S2" s="39"/>
    </row>
    <row r="3" ht="17" customHeight="1" spans="1:7">
      <c r="A3" s="2" t="s">
        <v>36</v>
      </c>
      <c r="B3" s="3"/>
      <c r="C3" s="4"/>
      <c r="D3" s="2" t="s">
        <v>41</v>
      </c>
      <c r="E3" s="2"/>
      <c r="F3" s="2"/>
      <c r="G3" s="2"/>
    </row>
    <row r="4" ht="17" customHeight="1" spans="1:7">
      <c r="A4" s="2" t="s">
        <v>266</v>
      </c>
      <c r="B4" s="3"/>
      <c r="C4" s="4"/>
      <c r="D4" s="2" t="s">
        <v>38</v>
      </c>
      <c r="E4" s="2"/>
      <c r="F4" s="2"/>
      <c r="G4" s="2"/>
    </row>
    <row r="5" ht="17" customHeight="1" spans="1:7">
      <c r="A5" s="2" t="s">
        <v>37</v>
      </c>
      <c r="B5" s="3"/>
      <c r="C5" s="4"/>
      <c r="D5" s="2" t="s">
        <v>40</v>
      </c>
      <c r="E5" s="2"/>
      <c r="F5" s="2"/>
      <c r="G5" s="2"/>
    </row>
    <row r="6" ht="17" customHeight="1" spans="1:7">
      <c r="A6" s="2" t="s">
        <v>267</v>
      </c>
      <c r="B6" s="3"/>
      <c r="C6" s="5"/>
      <c r="D6" s="3" t="s">
        <v>54</v>
      </c>
      <c r="E6" s="4"/>
      <c r="F6" s="3"/>
      <c r="G6" s="4"/>
    </row>
    <row r="7" ht="17" customHeight="1" spans="1:7">
      <c r="A7" s="6"/>
      <c r="B7" s="7"/>
      <c r="C7" s="7"/>
      <c r="D7" s="6"/>
      <c r="E7" s="6"/>
      <c r="F7" s="6"/>
      <c r="G7" s="6"/>
    </row>
    <row r="8" ht="17" customHeight="1" spans="1:7">
      <c r="A8" s="2" t="s">
        <v>268</v>
      </c>
      <c r="B8" s="3" t="s">
        <v>269</v>
      </c>
      <c r="C8" s="4"/>
      <c r="D8" s="2" t="s">
        <v>270</v>
      </c>
      <c r="E8" s="2" t="s">
        <v>271</v>
      </c>
      <c r="F8" s="2" t="s">
        <v>272</v>
      </c>
      <c r="G8" s="2"/>
    </row>
    <row r="9" ht="17" customHeight="1" spans="1:7">
      <c r="A9" s="2" t="s">
        <v>43</v>
      </c>
      <c r="B9" s="8"/>
      <c r="C9" s="9"/>
      <c r="D9" s="2"/>
      <c r="E9" s="2"/>
      <c r="F9" s="2"/>
      <c r="G9" s="2"/>
    </row>
    <row r="10" ht="17" customHeight="1" spans="1:7">
      <c r="A10" s="2" t="s">
        <v>46</v>
      </c>
      <c r="B10" s="8"/>
      <c r="C10" s="9"/>
      <c r="D10" s="2"/>
      <c r="E10" s="2"/>
      <c r="F10" s="2"/>
      <c r="G10" s="2"/>
    </row>
    <row r="11" ht="17" customHeight="1" spans="1:7">
      <c r="A11" s="2" t="s">
        <v>49</v>
      </c>
      <c r="B11" s="8"/>
      <c r="C11" s="9"/>
      <c r="D11" s="2"/>
      <c r="E11" s="2"/>
      <c r="F11" s="2"/>
      <c r="G11" s="2"/>
    </row>
    <row r="12" ht="17" customHeight="1" spans="1:7">
      <c r="A12" s="10"/>
      <c r="B12" s="10"/>
      <c r="C12" s="10"/>
      <c r="D12" s="10"/>
      <c r="E12" s="10"/>
      <c r="F12" s="10"/>
      <c r="G12" s="10"/>
    </row>
    <row r="13" ht="17" customHeight="1" spans="1:7">
      <c r="A13" s="11" t="s">
        <v>273</v>
      </c>
      <c r="B13" s="12"/>
      <c r="C13" s="12"/>
      <c r="D13" s="11" t="s">
        <v>274</v>
      </c>
      <c r="E13" s="11"/>
      <c r="F13" s="12"/>
      <c r="G13" s="12"/>
    </row>
    <row r="14" ht="17" customHeight="1"/>
    <row r="15" ht="17" customHeight="1" spans="1:3">
      <c r="A15" s="13" t="s">
        <v>275</v>
      </c>
      <c r="B15" s="13" t="s">
        <v>115</v>
      </c>
      <c r="C15" s="13" t="s">
        <v>116</v>
      </c>
    </row>
    <row r="16" ht="17" customHeight="1" spans="1:1">
      <c r="A16" t="s">
        <v>276</v>
      </c>
    </row>
    <row r="17" ht="17" customHeight="1" spans="1:3">
      <c r="A17" s="14" t="s">
        <v>277</v>
      </c>
      <c r="B17" s="14"/>
      <c r="C17" s="14"/>
    </row>
    <row r="18" ht="17" customHeight="1"/>
    <row r="19" ht="17" customHeight="1" spans="1:4">
      <c r="A19" s="15" t="s">
        <v>278</v>
      </c>
      <c r="B19" s="16"/>
      <c r="C19" s="16"/>
      <c r="D19" s="16"/>
    </row>
    <row r="20" ht="17" customHeight="1" spans="1:7">
      <c r="A20" s="13" t="s">
        <v>115</v>
      </c>
      <c r="B20" s="17" t="s">
        <v>118</v>
      </c>
      <c r="C20" s="17" t="s">
        <v>119</v>
      </c>
      <c r="D20" s="17" t="s">
        <v>120</v>
      </c>
      <c r="F20" s="18" t="s">
        <v>279</v>
      </c>
      <c r="G20" s="18"/>
    </row>
    <row r="21" ht="17" customHeight="1" spans="1:7">
      <c r="A21" s="19" t="s">
        <v>121</v>
      </c>
      <c r="B21" s="16"/>
      <c r="C21" s="16"/>
      <c r="D21" s="16"/>
      <c r="F21" s="20"/>
      <c r="G21" s="20"/>
    </row>
    <row r="22" ht="17" customHeight="1" spans="1:4">
      <c r="A22" s="19" t="s">
        <v>123</v>
      </c>
      <c r="B22" s="16"/>
      <c r="C22" s="16"/>
      <c r="D22" s="16"/>
    </row>
    <row r="23" ht="17" customHeight="1" spans="1:4">
      <c r="A23" s="19" t="s">
        <v>125</v>
      </c>
      <c r="B23" s="16"/>
      <c r="C23" s="21"/>
      <c r="D23" s="16"/>
    </row>
    <row r="24" ht="17" customHeight="1" spans="1:4">
      <c r="A24" s="19" t="s">
        <v>127</v>
      </c>
      <c r="B24" s="16"/>
      <c r="C24" s="16"/>
      <c r="D24" s="16"/>
    </row>
    <row r="25" ht="17" customHeight="1" spans="1:4">
      <c r="A25" s="22" t="s">
        <v>129</v>
      </c>
      <c r="B25" s="14"/>
      <c r="C25" s="23"/>
      <c r="D25" s="14"/>
    </row>
    <row r="26" ht="17" customHeight="1" spans="1:4">
      <c r="A26" s="16"/>
      <c r="B26" s="16"/>
      <c r="C26" s="16"/>
      <c r="D26" s="16"/>
    </row>
    <row r="27" ht="17" customHeight="1" spans="1:4">
      <c r="A27" s="13" t="s">
        <v>116</v>
      </c>
      <c r="B27" s="17" t="s">
        <v>118</v>
      </c>
      <c r="C27" s="17" t="s">
        <v>119</v>
      </c>
      <c r="D27" s="17" t="s">
        <v>120</v>
      </c>
    </row>
    <row r="28" ht="17" customHeight="1" spans="1:4">
      <c r="A28" s="19" t="s">
        <v>121</v>
      </c>
      <c r="B28" s="16"/>
      <c r="C28" s="16"/>
      <c r="D28" s="16"/>
    </row>
    <row r="29" ht="17" customHeight="1" spans="1:4">
      <c r="A29" s="19" t="s">
        <v>123</v>
      </c>
      <c r="B29" s="16"/>
      <c r="C29" s="16"/>
      <c r="D29" s="16"/>
    </row>
    <row r="30" ht="17" customHeight="1" spans="1:4">
      <c r="A30" s="19" t="s">
        <v>125</v>
      </c>
      <c r="B30" s="16"/>
      <c r="C30" s="21"/>
      <c r="D30" s="16"/>
    </row>
    <row r="31" ht="17" customHeight="1" spans="1:4">
      <c r="A31" s="19" t="s">
        <v>127</v>
      </c>
      <c r="B31" s="16"/>
      <c r="C31" s="16"/>
      <c r="D31" s="16"/>
    </row>
    <row r="32" ht="17" customHeight="1" spans="1:4">
      <c r="A32" s="22" t="s">
        <v>129</v>
      </c>
      <c r="B32" s="14"/>
      <c r="C32" s="23"/>
      <c r="D32" s="14"/>
    </row>
    <row r="33" ht="17" customHeight="1"/>
    <row r="34" ht="17" customHeight="1" spans="1:5">
      <c r="A34" s="15" t="s">
        <v>280</v>
      </c>
      <c r="B34" s="16"/>
      <c r="C34" s="16"/>
      <c r="D34" s="16"/>
      <c r="E34" s="16"/>
    </row>
    <row r="35" ht="17" customHeight="1" spans="1:14">
      <c r="A35" s="24"/>
      <c r="B35" s="24" t="s">
        <v>171</v>
      </c>
      <c r="C35" s="24"/>
      <c r="D35" s="24" t="s">
        <v>172</v>
      </c>
      <c r="E35" s="13"/>
      <c r="N35" s="36"/>
    </row>
    <row r="36" ht="17" customHeight="1" spans="1:17">
      <c r="A36" s="25">
        <v>1</v>
      </c>
      <c r="B36" s="26"/>
      <c r="C36" s="26"/>
      <c r="D36" s="26"/>
      <c r="E36" s="26"/>
      <c r="G36" s="27"/>
      <c r="H36" s="27"/>
      <c r="I36" s="27"/>
      <c r="J36" s="27"/>
      <c r="K36" s="27"/>
      <c r="L36" s="27"/>
      <c r="N36" s="37"/>
      <c r="O36" s="37"/>
      <c r="P36" s="38"/>
      <c r="Q36" s="37"/>
    </row>
    <row r="37" ht="17" customHeight="1" spans="1:17">
      <c r="A37" s="25">
        <v>2</v>
      </c>
      <c r="B37" s="26"/>
      <c r="C37" s="26"/>
      <c r="D37" s="26"/>
      <c r="E37" s="26"/>
      <c r="G37" s="27"/>
      <c r="H37" s="27"/>
      <c r="I37" s="27"/>
      <c r="J37" s="27"/>
      <c r="K37" s="27"/>
      <c r="L37" s="27"/>
      <c r="N37" s="37"/>
      <c r="O37" s="37"/>
      <c r="P37" s="38"/>
      <c r="Q37" s="37"/>
    </row>
    <row r="38" ht="17" customHeight="1" spans="1:17">
      <c r="A38" s="25">
        <v>3</v>
      </c>
      <c r="B38" s="26"/>
      <c r="C38" s="26"/>
      <c r="D38" s="26"/>
      <c r="E38" s="26"/>
      <c r="G38" s="27"/>
      <c r="H38" s="27"/>
      <c r="I38" s="27"/>
      <c r="J38" s="27"/>
      <c r="K38" s="27"/>
      <c r="L38" s="27"/>
      <c r="N38" s="37"/>
      <c r="O38" s="37"/>
      <c r="P38" s="38"/>
      <c r="Q38" s="37"/>
    </row>
    <row r="39" ht="17" customHeight="1" spans="1:17">
      <c r="A39" s="25">
        <v>4</v>
      </c>
      <c r="B39" s="26"/>
      <c r="C39" s="26"/>
      <c r="D39" s="26"/>
      <c r="E39" s="26"/>
      <c r="G39" s="27"/>
      <c r="H39" s="27"/>
      <c r="I39" s="27"/>
      <c r="J39" s="27"/>
      <c r="K39" s="27"/>
      <c r="L39" s="27"/>
      <c r="N39" s="37"/>
      <c r="O39" s="37"/>
      <c r="P39" s="38"/>
      <c r="Q39" s="37"/>
    </row>
    <row r="40" ht="17" customHeight="1" spans="1:17">
      <c r="A40" s="25">
        <v>5</v>
      </c>
      <c r="B40" s="26"/>
      <c r="C40" s="26"/>
      <c r="D40" s="26"/>
      <c r="E40" s="26"/>
      <c r="G40" s="27"/>
      <c r="H40" s="27"/>
      <c r="I40" s="27"/>
      <c r="J40" s="27"/>
      <c r="K40" s="27"/>
      <c r="L40" s="27"/>
      <c r="N40" s="37"/>
      <c r="O40" s="37"/>
      <c r="P40" s="38"/>
      <c r="Q40" s="37"/>
    </row>
    <row r="41" ht="17" customHeight="1" spans="1:17">
      <c r="A41" s="25">
        <v>6</v>
      </c>
      <c r="B41" s="26"/>
      <c r="C41" s="26"/>
      <c r="D41" s="26"/>
      <c r="E41" s="26"/>
      <c r="G41" s="27"/>
      <c r="H41" s="27"/>
      <c r="I41" s="27"/>
      <c r="J41" s="27"/>
      <c r="K41" s="27"/>
      <c r="L41" s="27"/>
      <c r="N41" s="37"/>
      <c r="O41" s="37"/>
      <c r="P41" s="38"/>
      <c r="Q41" s="37"/>
    </row>
    <row r="42" ht="17" customHeight="1" spans="1:17">
      <c r="A42" s="25">
        <v>7</v>
      </c>
      <c r="B42" s="26"/>
      <c r="C42" s="26"/>
      <c r="D42" s="26"/>
      <c r="E42" s="26"/>
      <c r="G42" s="27"/>
      <c r="H42" s="27"/>
      <c r="I42" s="27"/>
      <c r="J42" s="27"/>
      <c r="K42" s="27"/>
      <c r="L42" s="27"/>
      <c r="N42" s="37"/>
      <c r="O42" s="37"/>
      <c r="P42" s="38"/>
      <c r="Q42" s="37"/>
    </row>
    <row r="43" ht="17" customHeight="1" spans="1:17">
      <c r="A43" s="25">
        <v>8</v>
      </c>
      <c r="B43" s="26"/>
      <c r="C43" s="26"/>
      <c r="D43" s="26"/>
      <c r="E43" s="26"/>
      <c r="G43" s="27"/>
      <c r="H43" s="27"/>
      <c r="I43" s="27"/>
      <c r="J43" s="27"/>
      <c r="K43" s="27"/>
      <c r="L43" s="27"/>
      <c r="N43" s="37"/>
      <c r="O43" s="37"/>
      <c r="P43" s="38"/>
      <c r="Q43" s="37"/>
    </row>
    <row r="44" ht="17" customHeight="1" spans="1:17">
      <c r="A44" s="25">
        <v>9</v>
      </c>
      <c r="B44" s="26"/>
      <c r="C44" s="26"/>
      <c r="D44" s="26"/>
      <c r="E44" s="26"/>
      <c r="G44" s="27"/>
      <c r="H44" s="27"/>
      <c r="I44" s="27"/>
      <c r="J44" s="27"/>
      <c r="K44" s="27"/>
      <c r="L44" s="27"/>
      <c r="N44" s="37"/>
      <c r="O44" s="37"/>
      <c r="P44" s="38"/>
      <c r="Q44" s="37"/>
    </row>
    <row r="45" ht="17" customHeight="1" spans="1:17">
      <c r="A45" s="25">
        <v>10</v>
      </c>
      <c r="B45" s="26"/>
      <c r="C45" s="26"/>
      <c r="D45" s="26"/>
      <c r="E45" s="26"/>
      <c r="G45" s="27"/>
      <c r="H45" s="27"/>
      <c r="I45" s="27"/>
      <c r="J45" s="27"/>
      <c r="K45" s="27"/>
      <c r="L45" s="27"/>
      <c r="N45" s="37"/>
      <c r="O45" s="37"/>
      <c r="P45" s="38"/>
      <c r="Q45" s="37"/>
    </row>
    <row r="46" ht="17" customHeight="1" spans="1:17">
      <c r="A46" s="25">
        <v>11</v>
      </c>
      <c r="B46" s="26"/>
      <c r="C46" s="26"/>
      <c r="D46" s="26"/>
      <c r="E46" s="26"/>
      <c r="G46" s="27"/>
      <c r="H46" s="27"/>
      <c r="I46" s="27"/>
      <c r="J46" s="27"/>
      <c r="K46" s="27"/>
      <c r="L46" s="27"/>
      <c r="N46" s="37"/>
      <c r="O46" s="37"/>
      <c r="P46" s="38"/>
      <c r="Q46" s="37"/>
    </row>
    <row r="47" ht="17" customHeight="1" spans="1:17">
      <c r="A47" s="25">
        <v>12</v>
      </c>
      <c r="B47" s="26"/>
      <c r="C47" s="26"/>
      <c r="D47" s="26"/>
      <c r="E47" s="26"/>
      <c r="G47" s="27"/>
      <c r="H47" s="27"/>
      <c r="I47" s="27"/>
      <c r="J47" s="27"/>
      <c r="K47" s="27"/>
      <c r="L47" s="27"/>
      <c r="N47" s="37"/>
      <c r="O47" s="37"/>
      <c r="P47" s="38"/>
      <c r="Q47" s="37"/>
    </row>
    <row r="48" ht="17" customHeight="1" spans="1:17">
      <c r="A48" s="25">
        <v>13</v>
      </c>
      <c r="B48" s="26"/>
      <c r="C48" s="26"/>
      <c r="D48" s="26"/>
      <c r="E48" s="26"/>
      <c r="G48" s="27"/>
      <c r="H48" s="27"/>
      <c r="I48" s="27"/>
      <c r="J48" s="27"/>
      <c r="K48" s="27"/>
      <c r="L48" s="27"/>
      <c r="N48" s="37"/>
      <c r="O48" s="37"/>
      <c r="P48" s="38"/>
      <c r="Q48" s="37"/>
    </row>
    <row r="49" ht="17" customHeight="1" spans="1:17">
      <c r="A49" s="25">
        <v>14</v>
      </c>
      <c r="B49" s="26"/>
      <c r="C49" s="26"/>
      <c r="D49" s="26"/>
      <c r="E49" s="26"/>
      <c r="F49" s="16"/>
      <c r="G49" s="28"/>
      <c r="H49" s="27"/>
      <c r="I49" s="27"/>
      <c r="J49" s="27"/>
      <c r="K49" s="27"/>
      <c r="L49" s="27"/>
      <c r="N49" s="37"/>
      <c r="O49" s="37"/>
      <c r="P49" s="38"/>
      <c r="Q49" s="37"/>
    </row>
    <row r="50" ht="17" customHeight="1" spans="1:17">
      <c r="A50" s="25">
        <v>15</v>
      </c>
      <c r="B50" s="26"/>
      <c r="C50" s="26"/>
      <c r="D50" s="26"/>
      <c r="E50" s="26"/>
      <c r="F50" s="16"/>
      <c r="G50" s="28"/>
      <c r="H50" s="27"/>
      <c r="I50" s="27"/>
      <c r="J50" s="27"/>
      <c r="K50" s="27"/>
      <c r="L50" s="27"/>
      <c r="N50" s="37"/>
      <c r="O50" s="37"/>
      <c r="P50" s="38"/>
      <c r="Q50" s="37"/>
    </row>
    <row r="51" ht="17" customHeight="1" spans="1:10">
      <c r="A51" s="25">
        <v>16</v>
      </c>
      <c r="B51" s="16"/>
      <c r="C51" s="16"/>
      <c r="D51" s="16"/>
      <c r="E51" s="29"/>
      <c r="F51" s="16"/>
      <c r="G51" s="16"/>
      <c r="H51" s="30"/>
      <c r="I51" s="30"/>
      <c r="J51" s="30"/>
    </row>
    <row r="52" ht="17" customHeight="1" spans="1:10">
      <c r="A52" s="25">
        <v>17</v>
      </c>
      <c r="B52" s="16"/>
      <c r="C52" s="16"/>
      <c r="D52" s="16"/>
      <c r="E52" s="31"/>
      <c r="F52" s="31"/>
      <c r="G52" s="31"/>
      <c r="H52" s="32"/>
      <c r="I52" s="32"/>
      <c r="J52" s="32"/>
    </row>
    <row r="53" ht="17" customHeight="1" spans="1:10">
      <c r="A53" s="25">
        <v>18</v>
      </c>
      <c r="B53" s="16"/>
      <c r="C53" s="16"/>
      <c r="D53" s="21"/>
      <c r="E53" s="31"/>
      <c r="F53" s="29"/>
      <c r="G53" s="29"/>
      <c r="H53" s="32"/>
      <c r="I53" s="32"/>
      <c r="J53" s="32"/>
    </row>
    <row r="54" ht="17" customHeight="1" spans="1:10">
      <c r="A54" s="25">
        <v>19</v>
      </c>
      <c r="B54" s="16"/>
      <c r="C54" s="16"/>
      <c r="D54" s="16"/>
      <c r="E54" s="31"/>
      <c r="F54" s="16"/>
      <c r="G54" s="31"/>
      <c r="H54" s="32"/>
      <c r="I54" s="32"/>
      <c r="J54" s="32"/>
    </row>
    <row r="55" ht="17" customHeight="1" spans="1:7">
      <c r="A55" s="20">
        <v>20</v>
      </c>
      <c r="B55" s="14"/>
      <c r="C55" s="14"/>
      <c r="D55" s="23"/>
      <c r="E55" s="14"/>
      <c r="F55" s="16"/>
      <c r="G55" s="16"/>
    </row>
    <row r="57" ht="17.4" spans="1:8">
      <c r="A57" s="15" t="s">
        <v>281</v>
      </c>
      <c r="B57" s="16"/>
      <c r="C57" s="16"/>
      <c r="D57" s="16"/>
      <c r="E57" s="16"/>
      <c r="F57" s="16"/>
      <c r="G57" s="16"/>
      <c r="H57" s="16"/>
    </row>
    <row r="58" ht="17" customHeight="1" spans="1:5">
      <c r="A58" s="33" t="s">
        <v>170</v>
      </c>
      <c r="B58" s="34" t="s">
        <v>204</v>
      </c>
      <c r="C58" s="34"/>
      <c r="D58" s="34" t="s">
        <v>172</v>
      </c>
      <c r="E58" s="34"/>
    </row>
    <row r="59" ht="17" customHeight="1" spans="1:6">
      <c r="A59" s="35">
        <v>1</v>
      </c>
      <c r="B59" s="35"/>
      <c r="C59" s="35"/>
      <c r="F59" t="s">
        <v>267</v>
      </c>
    </row>
    <row r="60" ht="17" customHeight="1" spans="1:6">
      <c r="A60" s="35">
        <v>2</v>
      </c>
      <c r="B60" s="35"/>
      <c r="C60" s="35"/>
      <c r="F60" s="14"/>
    </row>
    <row r="61" ht="17" customHeight="1" spans="1:3">
      <c r="A61" s="35">
        <v>3</v>
      </c>
      <c r="B61" s="35"/>
      <c r="C61" s="35"/>
    </row>
    <row r="62" ht="17" customHeight="1" spans="1:6">
      <c r="A62" s="35">
        <v>4</v>
      </c>
      <c r="B62" s="35"/>
      <c r="C62" s="35"/>
      <c r="F62" t="s">
        <v>282</v>
      </c>
    </row>
    <row r="63" ht="17" customHeight="1" spans="1:6">
      <c r="A63" s="35">
        <v>5</v>
      </c>
      <c r="B63" s="35"/>
      <c r="C63" s="35"/>
      <c r="F63" s="14"/>
    </row>
    <row r="64" ht="17" customHeight="1" spans="1:3">
      <c r="A64" s="35">
        <v>6</v>
      </c>
      <c r="B64" s="35"/>
      <c r="C64" s="35"/>
    </row>
    <row r="65" ht="17" customHeight="1" spans="1:3">
      <c r="A65" s="35">
        <v>7</v>
      </c>
      <c r="B65" s="35"/>
      <c r="C65" s="35"/>
    </row>
    <row r="66" ht="17" customHeight="1" spans="1:3">
      <c r="A66" s="35">
        <v>8</v>
      </c>
      <c r="B66" s="35"/>
      <c r="C66" s="35"/>
    </row>
    <row r="67" ht="17" customHeight="1" spans="1:3">
      <c r="A67" s="35">
        <v>9</v>
      </c>
      <c r="B67" s="35"/>
      <c r="C67" s="35"/>
    </row>
    <row r="68" ht="17" customHeight="1" spans="1:3">
      <c r="A68" s="35">
        <v>10</v>
      </c>
      <c r="B68" s="35"/>
      <c r="C68" s="35"/>
    </row>
    <row r="69" ht="17" customHeight="1" spans="1:3">
      <c r="A69" s="35">
        <v>11</v>
      </c>
      <c r="B69" s="35"/>
      <c r="C69" s="35"/>
    </row>
    <row r="70" ht="17" customHeight="1" spans="1:3">
      <c r="A70" s="35">
        <v>12</v>
      </c>
      <c r="B70" s="35"/>
      <c r="C70" s="35"/>
    </row>
    <row r="71" ht="15.6" spans="1:3">
      <c r="A71" s="35">
        <v>13</v>
      </c>
      <c r="B71" s="35"/>
      <c r="C71" s="35"/>
    </row>
    <row r="72" ht="15.6" spans="1:3">
      <c r="A72" s="35">
        <v>14</v>
      </c>
      <c r="B72" s="35"/>
      <c r="C72" s="35"/>
    </row>
    <row r="73" ht="17" customHeight="1" spans="1:6">
      <c r="A73" s="35">
        <v>15</v>
      </c>
      <c r="B73" s="35"/>
      <c r="C73" s="35"/>
      <c r="D73" s="40"/>
      <c r="E73" s="41"/>
      <c r="F73" s="42"/>
    </row>
    <row r="74" ht="17" customHeight="1" spans="1:3">
      <c r="A74" s="35">
        <v>16</v>
      </c>
      <c r="B74" s="35"/>
      <c r="C74" s="35"/>
    </row>
    <row r="75" ht="17" customHeight="1" spans="1:3">
      <c r="A75" s="35">
        <v>17</v>
      </c>
      <c r="B75" s="35"/>
      <c r="C75" s="35"/>
    </row>
    <row r="76" ht="17" customHeight="1" spans="1:3">
      <c r="A76" s="35">
        <v>18</v>
      </c>
      <c r="B76" s="35"/>
      <c r="C76" s="35"/>
    </row>
    <row r="77" ht="17" customHeight="1" spans="1:3">
      <c r="A77" s="35">
        <v>19</v>
      </c>
      <c r="B77" s="35"/>
      <c r="C77" s="35"/>
    </row>
    <row r="78" ht="17" customHeight="1" spans="1:5">
      <c r="A78" s="43">
        <v>20</v>
      </c>
      <c r="B78" s="43"/>
      <c r="C78" s="43"/>
      <c r="D78" s="14"/>
      <c r="E78" s="14"/>
    </row>
    <row r="79" ht="17" customHeight="1"/>
    <row r="80" ht="19" customHeight="1" spans="1:1">
      <c r="A80" s="15" t="s">
        <v>283</v>
      </c>
    </row>
    <row r="81" ht="20" customHeight="1" spans="1:10">
      <c r="A81" s="44" t="s">
        <v>284</v>
      </c>
      <c r="B81" s="45"/>
      <c r="C81" s="45"/>
      <c r="D81" s="45"/>
      <c r="E81" s="45"/>
      <c r="F81" s="45"/>
      <c r="G81" s="45"/>
      <c r="H81" s="46"/>
      <c r="J81" s="36"/>
    </row>
    <row r="82" ht="20" customHeight="1" spans="1:12">
      <c r="A82" s="47" t="s">
        <v>239</v>
      </c>
      <c r="B82" s="48" t="s">
        <v>240</v>
      </c>
      <c r="C82" s="47"/>
      <c r="D82" s="47" t="s">
        <v>241</v>
      </c>
      <c r="E82" s="47"/>
      <c r="F82" s="48" t="s">
        <v>242</v>
      </c>
      <c r="G82" s="47"/>
      <c r="J82" s="38"/>
      <c r="K82" s="38"/>
      <c r="L82" s="37"/>
    </row>
    <row r="83" ht="33" customHeight="1" spans="1:12">
      <c r="A83" s="49" t="s">
        <v>243</v>
      </c>
      <c r="B83" s="50" t="s">
        <v>244</v>
      </c>
      <c r="C83" s="50"/>
      <c r="D83" s="50" t="s">
        <v>245</v>
      </c>
      <c r="E83" s="50"/>
      <c r="F83" s="41">
        <v>0</v>
      </c>
      <c r="G83" s="41"/>
      <c r="J83" s="38"/>
      <c r="K83" s="38"/>
      <c r="L83" s="37"/>
    </row>
    <row r="84" ht="33" customHeight="1" spans="1:12">
      <c r="A84" s="51" t="s">
        <v>246</v>
      </c>
      <c r="B84" s="52" t="s">
        <v>244</v>
      </c>
      <c r="C84" s="52"/>
      <c r="D84" s="53">
        <v>0</v>
      </c>
      <c r="E84" s="53"/>
      <c r="F84" s="52" t="s">
        <v>245</v>
      </c>
      <c r="G84" s="52"/>
      <c r="K84" s="36"/>
      <c r="L84" s="36"/>
    </row>
    <row r="85" ht="20" customHeight="1" spans="1:10">
      <c r="A85" s="54"/>
      <c r="B85" s="50"/>
      <c r="C85" s="50"/>
      <c r="D85" s="41"/>
      <c r="E85" s="41"/>
      <c r="F85" s="50"/>
      <c r="G85" s="50"/>
      <c r="J85" s="71"/>
    </row>
    <row r="86" ht="20" customHeight="1" spans="1:10">
      <c r="A86" s="55" t="s">
        <v>247</v>
      </c>
      <c r="B86" s="55"/>
      <c r="C86" s="55" t="s">
        <v>216</v>
      </c>
      <c r="D86" s="55" t="s">
        <v>218</v>
      </c>
      <c r="E86" s="55" t="s">
        <v>220</v>
      </c>
      <c r="F86" s="50"/>
      <c r="G86" s="50"/>
      <c r="J86" s="71"/>
    </row>
    <row r="87" ht="20" customHeight="1" spans="1:10">
      <c r="A87" s="56" t="s">
        <v>243</v>
      </c>
      <c r="B87" s="56"/>
      <c r="C87" s="56" t="s">
        <v>285</v>
      </c>
      <c r="D87" s="56" t="s">
        <v>285</v>
      </c>
      <c r="E87" s="56" t="s">
        <v>285</v>
      </c>
      <c r="F87" s="50"/>
      <c r="G87" s="50"/>
      <c r="H87" s="45"/>
      <c r="J87" s="71"/>
    </row>
    <row r="88" ht="20" customHeight="1" spans="1:7">
      <c r="A88" s="54"/>
      <c r="B88" s="50"/>
      <c r="C88" s="50"/>
      <c r="D88" s="41"/>
      <c r="E88" s="41"/>
      <c r="G88" s="50"/>
    </row>
    <row r="89" ht="20" customHeight="1" spans="1:7">
      <c r="A89" s="57" t="s">
        <v>286</v>
      </c>
      <c r="B89" s="58"/>
      <c r="C89" s="58"/>
      <c r="D89" s="58"/>
      <c r="E89" s="58"/>
      <c r="F89" s="59"/>
      <c r="G89" s="50"/>
    </row>
    <row r="90" ht="37" customHeight="1" spans="1:7">
      <c r="A90" s="60" t="s">
        <v>249</v>
      </c>
      <c r="B90" s="61" t="s">
        <v>250</v>
      </c>
      <c r="C90" s="61"/>
      <c r="D90" s="61" t="s">
        <v>251</v>
      </c>
      <c r="E90" s="61"/>
      <c r="F90" s="62" t="s">
        <v>287</v>
      </c>
      <c r="G90" s="50"/>
    </row>
    <row r="91" ht="20" customHeight="1" spans="1:11">
      <c r="A91" s="63">
        <v>1</v>
      </c>
      <c r="B91" s="58">
        <v>0</v>
      </c>
      <c r="C91" s="58"/>
      <c r="D91" s="58">
        <v>1</v>
      </c>
      <c r="E91" s="58"/>
      <c r="F91" s="62"/>
      <c r="G91" s="50"/>
      <c r="K91" s="36"/>
    </row>
    <row r="92" ht="20" customHeight="1" spans="1:7">
      <c r="A92" s="63">
        <v>2</v>
      </c>
      <c r="B92" s="58">
        <v>0.25</v>
      </c>
      <c r="C92" s="58"/>
      <c r="D92" s="58">
        <v>0.75</v>
      </c>
      <c r="E92" s="58"/>
      <c r="F92" s="62"/>
      <c r="G92" s="50"/>
    </row>
    <row r="93" ht="20" customHeight="1" spans="1:7">
      <c r="A93" s="63">
        <v>3</v>
      </c>
      <c r="B93" s="58">
        <v>0.5</v>
      </c>
      <c r="C93" s="58"/>
      <c r="D93" s="58">
        <v>0.5</v>
      </c>
      <c r="E93" s="58"/>
      <c r="F93" s="62"/>
      <c r="G93" s="64"/>
    </row>
    <row r="94" ht="20" customHeight="1" spans="1:7">
      <c r="A94" s="63">
        <v>4</v>
      </c>
      <c r="B94" s="58">
        <v>0.75</v>
      </c>
      <c r="C94" s="58"/>
      <c r="D94" s="58">
        <v>0.25</v>
      </c>
      <c r="E94" s="58"/>
      <c r="F94" s="62"/>
      <c r="G94" s="16"/>
    </row>
    <row r="95" ht="20" customHeight="1" spans="1:6">
      <c r="A95" s="65">
        <v>5</v>
      </c>
      <c r="B95" s="66">
        <v>1</v>
      </c>
      <c r="C95" s="66"/>
      <c r="D95" s="66">
        <v>0</v>
      </c>
      <c r="E95" s="66"/>
      <c r="F95" s="62"/>
    </row>
    <row r="96" ht="20" customHeight="1"/>
    <row r="97" ht="20" customHeight="1" spans="1:7">
      <c r="A97" s="67" t="s">
        <v>216</v>
      </c>
      <c r="B97" s="68" t="s">
        <v>256</v>
      </c>
      <c r="C97" s="68"/>
      <c r="D97" s="68"/>
      <c r="E97" s="69" t="s">
        <v>257</v>
      </c>
      <c r="F97" s="68"/>
      <c r="G97" s="68" t="s">
        <v>217</v>
      </c>
    </row>
    <row r="98" ht="20" customHeight="1" spans="1:4">
      <c r="A98" s="60" t="s">
        <v>249</v>
      </c>
      <c r="B98" s="56" t="s">
        <v>118</v>
      </c>
      <c r="C98" s="56" t="s">
        <v>119</v>
      </c>
      <c r="D98" s="56" t="s">
        <v>120</v>
      </c>
    </row>
    <row r="99" ht="20" customHeight="1" spans="1:4">
      <c r="A99" s="63">
        <v>1</v>
      </c>
      <c r="B99" s="58"/>
      <c r="C99" s="58"/>
      <c r="D99" s="58"/>
    </row>
    <row r="100" ht="20" customHeight="1" spans="1:4">
      <c r="A100" s="63">
        <v>2</v>
      </c>
      <c r="B100" s="58"/>
      <c r="C100" s="70"/>
      <c r="D100" s="58"/>
    </row>
    <row r="101" ht="20" customHeight="1" spans="1:4">
      <c r="A101" s="63">
        <v>3</v>
      </c>
      <c r="B101" s="58"/>
      <c r="C101" s="58"/>
      <c r="D101" s="58"/>
    </row>
    <row r="102" ht="20" customHeight="1" spans="1:4">
      <c r="A102" s="63">
        <v>4</v>
      </c>
      <c r="B102" s="58"/>
      <c r="C102" s="58"/>
      <c r="D102" s="58"/>
    </row>
    <row r="103" ht="20" customHeight="1" spans="1:4">
      <c r="A103" s="65">
        <v>5</v>
      </c>
      <c r="B103" s="66"/>
      <c r="C103" s="66"/>
      <c r="D103" s="66"/>
    </row>
    <row r="104" ht="20" customHeight="1" spans="1:7">
      <c r="A104" s="67" t="s">
        <v>218</v>
      </c>
      <c r="B104" s="68" t="s">
        <v>256</v>
      </c>
      <c r="C104" s="68"/>
      <c r="D104" s="68"/>
      <c r="E104" s="69" t="s">
        <v>257</v>
      </c>
      <c r="F104" s="68"/>
      <c r="G104" s="68" t="s">
        <v>219</v>
      </c>
    </row>
    <row r="105" ht="20" customHeight="1" spans="1:4">
      <c r="A105" s="60" t="s">
        <v>249</v>
      </c>
      <c r="B105" s="56" t="s">
        <v>118</v>
      </c>
      <c r="C105" s="56" t="s">
        <v>119</v>
      </c>
      <c r="D105" s="56" t="s">
        <v>120</v>
      </c>
    </row>
    <row r="106" ht="20" customHeight="1" spans="1:4">
      <c r="A106" s="63">
        <v>1</v>
      </c>
      <c r="B106" s="58"/>
      <c r="C106" s="58"/>
      <c r="D106" s="58"/>
    </row>
    <row r="107" ht="20" customHeight="1" spans="1:4">
      <c r="A107" s="63">
        <v>2</v>
      </c>
      <c r="B107" s="58"/>
      <c r="C107" s="70"/>
      <c r="D107" s="58"/>
    </row>
    <row r="108" ht="20" customHeight="1" spans="1:4">
      <c r="A108" s="63">
        <v>3</v>
      </c>
      <c r="B108" s="58"/>
      <c r="C108" s="58"/>
      <c r="D108" s="58"/>
    </row>
    <row r="109" spans="1:4">
      <c r="A109" s="63">
        <v>4</v>
      </c>
      <c r="B109" s="58"/>
      <c r="C109" s="58"/>
      <c r="D109" s="58"/>
    </row>
    <row r="110" spans="1:4">
      <c r="A110" s="65">
        <v>5</v>
      </c>
      <c r="B110" s="66"/>
      <c r="C110" s="66"/>
      <c r="D110" s="66"/>
    </row>
    <row r="111" spans="1:7">
      <c r="A111" s="67" t="s">
        <v>220</v>
      </c>
      <c r="B111" s="68" t="s">
        <v>256</v>
      </c>
      <c r="C111" s="68"/>
      <c r="D111" s="68"/>
      <c r="E111" s="69" t="s">
        <v>257</v>
      </c>
      <c r="F111" s="68"/>
      <c r="G111" s="68" t="s">
        <v>261</v>
      </c>
    </row>
    <row r="112" spans="1:4">
      <c r="A112" s="60" t="s">
        <v>249</v>
      </c>
      <c r="B112" s="56" t="s">
        <v>118</v>
      </c>
      <c r="C112" s="56" t="s">
        <v>119</v>
      </c>
      <c r="D112" s="56" t="s">
        <v>120</v>
      </c>
    </row>
    <row r="113" spans="1:4">
      <c r="A113" s="63">
        <v>1</v>
      </c>
      <c r="B113" s="58"/>
      <c r="C113" s="58"/>
      <c r="D113" s="58"/>
    </row>
    <row r="114" spans="1:4">
      <c r="A114" s="63">
        <v>2</v>
      </c>
      <c r="B114" s="58"/>
      <c r="C114" s="70"/>
      <c r="D114" s="58"/>
    </row>
    <row r="115" spans="1:8">
      <c r="A115" s="63">
        <v>3</v>
      </c>
      <c r="B115" s="58"/>
      <c r="C115" s="58"/>
      <c r="D115" s="58"/>
      <c r="H115" s="36"/>
    </row>
    <row r="116" spans="1:9">
      <c r="A116" s="63">
        <v>4</v>
      </c>
      <c r="B116" s="58"/>
      <c r="C116" s="58"/>
      <c r="D116" s="58"/>
      <c r="H116" s="71"/>
      <c r="I116" s="75"/>
    </row>
    <row r="117" spans="1:9">
      <c r="A117" s="65">
        <v>5</v>
      </c>
      <c r="B117" s="66"/>
      <c r="C117" s="66"/>
      <c r="D117" s="66"/>
      <c r="H117" s="71"/>
      <c r="I117" s="75"/>
    </row>
    <row r="118" spans="1:9">
      <c r="A118" s="71"/>
      <c r="B118" s="72"/>
      <c r="C118" s="72"/>
      <c r="D118" s="72"/>
      <c r="E118" s="72"/>
      <c r="H118" s="71"/>
      <c r="I118" s="75"/>
    </row>
    <row r="119" spans="1:5">
      <c r="A119" s="71"/>
      <c r="B119" s="72"/>
      <c r="C119" s="72"/>
      <c r="D119" s="72"/>
      <c r="E119" s="72"/>
    </row>
    <row r="120" spans="1:5">
      <c r="A120" s="71"/>
      <c r="B120" s="72"/>
      <c r="C120" s="72"/>
      <c r="D120" s="72"/>
      <c r="E120" s="72"/>
    </row>
    <row r="121" spans="1:1">
      <c r="A121" s="16"/>
    </row>
    <row r="122" spans="1:2">
      <c r="A122" s="21"/>
      <c r="B122" s="36"/>
    </row>
    <row r="123" spans="1:5">
      <c r="A123" s="73"/>
      <c r="B123" s="74"/>
      <c r="C123" s="74"/>
      <c r="D123" s="74"/>
      <c r="E123" s="74"/>
    </row>
    <row r="124" spans="1:5">
      <c r="A124" s="71"/>
      <c r="B124" s="72"/>
      <c r="C124" s="72"/>
      <c r="D124" s="72"/>
      <c r="E124" s="72"/>
    </row>
    <row r="125" spans="1:5">
      <c r="A125" s="71"/>
      <c r="B125" s="72"/>
      <c r="C125" s="72"/>
      <c r="D125" s="72"/>
      <c r="E125" s="72"/>
    </row>
    <row r="126" spans="1:5">
      <c r="A126" s="71"/>
      <c r="B126" s="72"/>
      <c r="C126" s="72"/>
      <c r="D126" s="72"/>
      <c r="E126" s="72"/>
    </row>
    <row r="127" spans="1:1">
      <c r="A127" s="16"/>
    </row>
    <row r="128" spans="1:2">
      <c r="A128" s="21"/>
      <c r="B128" s="36"/>
    </row>
    <row r="129" spans="1:5">
      <c r="A129" s="73"/>
      <c r="B129" s="74"/>
      <c r="C129" s="74"/>
      <c r="D129" s="74"/>
      <c r="E129" s="74"/>
    </row>
    <row r="130" spans="1:5">
      <c r="A130" s="71"/>
      <c r="B130" s="72"/>
      <c r="C130" s="72"/>
      <c r="D130" s="72"/>
      <c r="E130" s="72"/>
    </row>
    <row r="131" spans="1:5">
      <c r="A131" s="71"/>
      <c r="B131" s="72"/>
      <c r="C131" s="72"/>
      <c r="D131" s="72"/>
      <c r="E131" s="72"/>
    </row>
    <row r="132" spans="1:5">
      <c r="A132" s="71"/>
      <c r="B132" s="72"/>
      <c r="C132" s="72"/>
      <c r="D132" s="72"/>
      <c r="E132" s="72"/>
    </row>
  </sheetData>
  <protectedRanges>
    <protectedRange sqref="H52:H54 F52:F54" name="区域1_1_1_3_2_2"/>
    <protectedRange sqref="J52:J54" name="区域1_1_1_3_1_1_1"/>
    <protectedRange sqref="I116:I118" name="区域1_1_2"/>
    <protectedRange sqref="B65:B70" name="区域1_1_1_18"/>
    <protectedRange sqref="D95" name="区域1_1_1_18_1"/>
  </protectedRanges>
  <mergeCells count="73">
    <mergeCell ref="R2:S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8:C8"/>
    <mergeCell ref="F8:G8"/>
    <mergeCell ref="B9:C9"/>
    <mergeCell ref="F9:G9"/>
    <mergeCell ref="B10:C10"/>
    <mergeCell ref="F10:G10"/>
    <mergeCell ref="B11:C11"/>
    <mergeCell ref="F11:G11"/>
    <mergeCell ref="D13:E13"/>
    <mergeCell ref="F21:G21"/>
    <mergeCell ref="B35:C35"/>
    <mergeCell ref="D35:E35"/>
    <mergeCell ref="B58:C58"/>
    <mergeCell ref="D58:E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82:C82"/>
    <mergeCell ref="D82:E82"/>
    <mergeCell ref="F82:G82"/>
    <mergeCell ref="B83:C83"/>
    <mergeCell ref="D83:E83"/>
    <mergeCell ref="F83:G83"/>
    <mergeCell ref="K83:L83"/>
    <mergeCell ref="B84:C84"/>
    <mergeCell ref="D84:E84"/>
    <mergeCell ref="F84:G84"/>
    <mergeCell ref="A86:B86"/>
    <mergeCell ref="A87:B87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F90:F95"/>
    <mergeCell ref="A1:G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1" master="" otherUserPermission="visible"/>
  <rangeList sheetStid="60" master="" otherUserPermission="visible"/>
  <rangeList sheetStid="81" master="" otherUserPermission="visible">
    <arrUserId title="区域1_1_1_3_2_2" rangeCreator="" othersAccessPermission="edit"/>
    <arrUserId title="区域1_1_1_3_1_1_1" rangeCreator="" othersAccessPermission="edit"/>
    <arrUserId title="区域1_1_1_3_2_2_1_1" rangeCreator="" othersAccessPermission="edit"/>
  </rangeList>
  <rangeList sheetStid="82" master="" otherUserPermission="visible"/>
  <rangeList sheetStid="85" master="" otherUserPermission="visible"/>
  <rangeList sheetStid="83" master="" otherUserPermission="visible">
    <arrUserId title="区域1_1_1_18" rangeCreator="" othersAccessPermission="edit"/>
  </rangeList>
  <rangeList sheetStid="79" master="" otherUserPermission="visible">
    <arrUserId title="区域1_1_1_3_2_2" rangeCreator="" othersAccessPermission="edit"/>
    <arrUserId title="区域1_1_1_3_1_1_1" rangeCreator="" othersAccessPermission="edit"/>
    <arrUserId title="区域1_1_2" rangeCreator="" othersAccessPermission="edit"/>
    <arrUserId title="区域1_1_1_18" rangeCreator="" othersAccessPermission="edit"/>
    <arrUserId title="区域1_1_1_18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主封面</vt:lpstr>
      <vt:lpstr>结果汇总</vt:lpstr>
      <vt:lpstr>精密度</vt:lpstr>
      <vt:lpstr>方法符合率</vt:lpstr>
      <vt:lpstr>方法检出限（合适时）</vt:lpstr>
      <vt:lpstr>分析特异性（合适时）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Winnie (Ping)</dc:creator>
  <cp:lastModifiedBy>隐月</cp:lastModifiedBy>
  <dcterms:created xsi:type="dcterms:W3CDTF">2006-09-13T03:21:00Z</dcterms:created>
  <cp:lastPrinted>2024-04-28T11:48:00Z</cp:lastPrinted>
  <dcterms:modified xsi:type="dcterms:W3CDTF">2025-09-21T12:42:25Z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A06D5344DFF94FD797A80AF9DCD7B43B_13</vt:lpwstr>
  </property>
</Properties>
</file>